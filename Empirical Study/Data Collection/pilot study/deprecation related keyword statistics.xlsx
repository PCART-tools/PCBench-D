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F:\Desktop\rename_related\final_release\Empirical Study\Data Collection\pilot study\"/>
    </mc:Choice>
  </mc:AlternateContent>
  <xr:revisionPtr revIDLastSave="0" documentId="13_ncr:1_{1FC5ADB4-5C46-4B41-9E64-A6E60838B6FD}" xr6:coauthVersionLast="47" xr6:coauthVersionMax="47" xr10:uidLastSave="{00000000-0000-0000-0000-000000000000}"/>
  <bookViews>
    <workbookView xWindow="-2320" yWindow="4160" windowWidth="19510" windowHeight="13650" tabRatio="837" firstSheet="20" activeTab="33" xr2:uid="{00000000-000D-0000-FFFF-FFFF00000000}"/>
  </bookViews>
  <sheets>
    <sheet name="request" sheetId="1" r:id="rId1"/>
    <sheet name="numpy" sheetId="2" r:id="rId2"/>
    <sheet name="pandas" sheetId="3" r:id="rId3"/>
    <sheet name="click" sheetId="4" r:id="rId4"/>
    <sheet name="flask" sheetId="5" r:id="rId5"/>
    <sheet name="pydantic" sheetId="6" r:id="rId6"/>
    <sheet name="SciPy" sheetId="7" r:id="rId7"/>
    <sheet name="pillow" sheetId="8" r:id="rId8"/>
    <sheet name="scikit-learn" sheetId="9" r:id="rId9"/>
    <sheet name="matplotlib" sheetId="10" r:id="rId10"/>
    <sheet name="redis-py" sheetId="11" r:id="rId11"/>
    <sheet name="tornado" sheetId="12" r:id="rId12"/>
    <sheet name="NetworkX" sheetId="13" r:id="rId13"/>
    <sheet name="rich" sheetId="14" r:id="rId14"/>
    <sheet name="tensorflow" sheetId="15" r:id="rId15"/>
    <sheet name="fastAPI" sheetId="16" r:id="rId16"/>
    <sheet name="httpx" sheetId="17" r:id="rId17"/>
    <sheet name="transformers" sheetId="18" r:id="rId18"/>
    <sheet name="django" sheetId="19" r:id="rId19"/>
    <sheet name="xgboost" sheetId="20" r:id="rId20"/>
    <sheet name="keras" sheetId="21" r:id="rId21"/>
    <sheet name="pytorch" sheetId="22" r:id="rId22"/>
    <sheet name="plotly.py" sheetId="23" r:id="rId23"/>
    <sheet name="dask" sheetId="25" r:id="rId24"/>
    <sheet name="polars" sheetId="26" r:id="rId25"/>
    <sheet name="loguru" sheetId="27" r:id="rId26"/>
    <sheet name="LightGBM" sheetId="28" r:id="rId27"/>
    <sheet name="sympy" sheetId="24" r:id="rId28"/>
    <sheet name="spaCy" sheetId="29" r:id="rId29"/>
    <sheet name="gensim" sheetId="30" r:id="rId30"/>
    <sheet name="jax" sheetId="31" r:id="rId31"/>
    <sheet name="aiohttp" sheetId="32" r:id="rId32"/>
    <sheet name="faker" sheetId="33" r:id="rId33"/>
    <sheet name="keywords analysis" sheetId="34" r:id="rId3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34" l="1"/>
  <c r="R3" i="34"/>
  <c r="R4" i="34"/>
  <c r="S4" i="34" s="1"/>
  <c r="R5" i="34"/>
  <c r="S5" i="34" s="1"/>
  <c r="R6" i="34"/>
  <c r="R7" i="34"/>
  <c r="U7" i="34" s="1"/>
  <c r="R8" i="34"/>
  <c r="U8" i="34" s="1"/>
  <c r="R9" i="34"/>
  <c r="V9" i="34" s="1"/>
  <c r="R10" i="34"/>
  <c r="R11" i="34"/>
  <c r="W11" i="34" s="1"/>
  <c r="R12" i="34"/>
  <c r="R13" i="34"/>
  <c r="X13" i="34" s="1"/>
  <c r="R14" i="34"/>
  <c r="R15" i="34"/>
  <c r="R16" i="34"/>
  <c r="R2" i="34"/>
  <c r="K2" i="34"/>
  <c r="K9" i="34"/>
  <c r="K8" i="34"/>
  <c r="B1" i="34" l="1"/>
  <c r="J27" i="34" s="1"/>
  <c r="E2" i="34"/>
  <c r="E18" i="34"/>
  <c r="K3" i="34"/>
  <c r="E15" i="34"/>
  <c r="E16" i="34"/>
  <c r="K20" i="34"/>
  <c r="K19" i="34"/>
  <c r="K18" i="34"/>
  <c r="K17" i="34"/>
  <c r="K16" i="34"/>
  <c r="K15" i="34"/>
  <c r="K14" i="34"/>
  <c r="K13" i="34"/>
  <c r="K12" i="34"/>
  <c r="K11" i="34"/>
  <c r="K10" i="34"/>
  <c r="K7" i="34"/>
  <c r="K6" i="34"/>
  <c r="K5" i="34"/>
  <c r="K4" i="34"/>
  <c r="E3" i="34"/>
  <c r="E4" i="34"/>
  <c r="E5" i="34"/>
  <c r="E6" i="34"/>
  <c r="E7" i="34"/>
  <c r="E8" i="34"/>
  <c r="E9" i="34"/>
  <c r="E10" i="34"/>
  <c r="E11" i="34"/>
  <c r="E12" i="34"/>
  <c r="E13" i="34"/>
  <c r="E14" i="34"/>
  <c r="E17" i="34"/>
  <c r="E19" i="34"/>
  <c r="E20" i="34"/>
  <c r="E21" i="34"/>
  <c r="E22" i="34"/>
  <c r="E23" i="34"/>
  <c r="E24" i="34"/>
  <c r="J5" i="34" s="1"/>
  <c r="E25" i="34"/>
  <c r="J6" i="34" s="1"/>
  <c r="E26" i="34"/>
  <c r="E27" i="34"/>
  <c r="E28" i="34"/>
  <c r="E29" i="34"/>
  <c r="E30" i="34"/>
  <c r="J9" i="34" s="1"/>
  <c r="E31" i="34"/>
  <c r="E32" i="34"/>
  <c r="E33" i="34"/>
  <c r="E34" i="34"/>
  <c r="J11" i="34" s="1"/>
  <c r="E35" i="34"/>
  <c r="J12" i="34" s="1"/>
  <c r="E36" i="34"/>
  <c r="J13" i="34" s="1"/>
  <c r="E37" i="34"/>
  <c r="J14" i="34" s="1"/>
  <c r="E38" i="34"/>
  <c r="E39" i="34"/>
  <c r="E40" i="34"/>
  <c r="E41" i="34"/>
  <c r="E42" i="34"/>
  <c r="E43" i="34"/>
  <c r="E44" i="34"/>
  <c r="J17" i="34" s="1"/>
  <c r="E45" i="34"/>
  <c r="E46" i="34"/>
  <c r="E47" i="34"/>
  <c r="E48" i="34"/>
  <c r="E49" i="34"/>
  <c r="J20" i="34" s="1"/>
  <c r="F42" i="34" l="1"/>
  <c r="F7" i="34"/>
  <c r="F5" i="34"/>
  <c r="J7" i="34"/>
  <c r="F28" i="34"/>
  <c r="J8" i="34" s="1"/>
  <c r="J19" i="34"/>
  <c r="J10" i="34"/>
  <c r="J3" i="34"/>
  <c r="F45" i="34"/>
  <c r="J18" i="34" s="1"/>
  <c r="L14" i="34"/>
  <c r="L7" i="34"/>
  <c r="L15" i="34"/>
  <c r="L3" i="34"/>
  <c r="L16" i="34"/>
  <c r="L9" i="34"/>
  <c r="L17" i="34"/>
  <c r="L10" i="34"/>
  <c r="L18" i="34"/>
  <c r="L6" i="34"/>
  <c r="L8" i="34"/>
  <c r="L11" i="34"/>
  <c r="L19" i="34"/>
  <c r="L4" i="34"/>
  <c r="L12" i="34"/>
  <c r="L20" i="34"/>
  <c r="L5" i="34"/>
  <c r="L13" i="34"/>
  <c r="F38" i="34"/>
  <c r="J15" i="34" s="1"/>
  <c r="F21" i="34"/>
  <c r="F43" i="34"/>
  <c r="F2" i="34"/>
  <c r="L2" i="34"/>
  <c r="J4" i="34"/>
  <c r="F40" i="34" l="1"/>
  <c r="J16" i="34" s="1"/>
  <c r="J2" i="34"/>
</calcChain>
</file>

<file path=xl/sharedStrings.xml><?xml version="1.0" encoding="utf-8"?>
<sst xmlns="http://schemas.openxmlformats.org/spreadsheetml/2006/main" count="1787" uniqueCount="740">
  <si>
    <t>0.6.6</t>
    <phoneticPr fontId="1" type="noConversion"/>
  </si>
  <si>
    <t>0.10.1</t>
    <phoneticPr fontId="1" type="noConversion"/>
  </si>
  <si>
    <t>2.16.5</t>
    <phoneticPr fontId="1" type="noConversion"/>
  </si>
  <si>
    <t>2.20.1</t>
    <phoneticPr fontId="1" type="noConversion"/>
  </si>
  <si>
    <t>2.26.0</t>
    <phoneticPr fontId="1" type="noConversion"/>
  </si>
  <si>
    <t>1.13.3</t>
    <phoneticPr fontId="1" type="noConversion"/>
  </si>
  <si>
    <t>1.16.5</t>
    <phoneticPr fontId="1" type="noConversion"/>
  </si>
  <si>
    <t>1.16.6</t>
  </si>
  <si>
    <t>1.12.1</t>
    <phoneticPr fontId="1" type="noConversion"/>
  </si>
  <si>
    <t>0.7.1</t>
    <phoneticPr fontId="1" type="noConversion"/>
  </si>
  <si>
    <t>New DatetimeIndex class supports both fixed frequency and irregular time series. Replaces now deprecated DateRange class</t>
    <phoneticPr fontId="1" type="noConversion"/>
  </si>
  <si>
    <t>Time Series changes and improvements</t>
    <phoneticPr fontId="1" type="noConversion"/>
  </si>
  <si>
    <t>Rename Factor to Categorical and add a number of usability features</t>
    <phoneticPr fontId="1" type="noConversion"/>
  </si>
  <si>
    <t>Other new features</t>
    <phoneticPr fontId="1" type="noConversion"/>
  </si>
  <si>
    <t xml:space="preserve">DateRange has been replaced by DatetimeIndex but otherwise behaved identically. </t>
    <phoneticPr fontId="1" type="noConversion"/>
  </si>
  <si>
    <t>Potential porting issues for pandas &lt;= 0.7.3 users</t>
    <phoneticPr fontId="1" type="noConversion"/>
  </si>
  <si>
    <t>0.8.0</t>
    <phoneticPr fontId="1" type="noConversion"/>
  </si>
  <si>
    <t>0.10.0</t>
    <phoneticPr fontId="1" type="noConversion"/>
  </si>
  <si>
    <t>As part of a larger refactor to MultiIndex the level names are now stored separately from the levels (GH 27242). We recommend using MultiIndex.names to access the names, and Index.set_names() to update the names.
For backwards compatibility, you can still access the names via the levels.However, it is no longer possible to update the names of the MultiIndex via the level.</t>
    <phoneticPr fontId="1" type="noConversion"/>
  </si>
  <si>
    <t>Backwards incompatible API changes</t>
    <phoneticPr fontId="1" type="noConversion"/>
  </si>
  <si>
    <t>Series.str.__iter__() was deprecated and will be removed in future releases</t>
    <phoneticPr fontId="1" type="noConversion"/>
  </si>
  <si>
    <t>Index.set_value has been deprecated. For a given index idx, array arr, value in idx of idx_val and a new value of val, idx.set_value(arr, idx_val, val) is equivalent to arr[idx.get_loc(idx_val)] = val, which should be used instead</t>
    <phoneticPr fontId="1" type="noConversion"/>
  </si>
  <si>
    <t>Deprecations</t>
    <phoneticPr fontId="1" type="noConversion"/>
  </si>
  <si>
    <t>is_extension_type() is deprecated, is_extension_array_dtype() should be used instead</t>
    <phoneticPr fontId="1" type="noConversion"/>
  </si>
  <si>
    <t>DateOffset.isAnchored() and DatetOffset.onOffset() are deprecated and will be removed in a future version, use DateOffset.is_anchored() and DateOffset.is_on_offset() instead</t>
    <phoneticPr fontId="1" type="noConversion"/>
  </si>
  <si>
    <t>pandas.tseries.frequencies.get_offset is deprecated and will be removed in a future version, use pandas.tseries.frequencies.to_offset instead</t>
    <phoneticPr fontId="1" type="noConversion"/>
  </si>
  <si>
    <t>Categorical.take_nd() and CategoricalIndex.take_nd() are deprecated, use Categorical.take() and CategoricalIndex.take() instead</t>
    <phoneticPr fontId="1" type="noConversion"/>
  </si>
  <si>
    <t>pandas.core.index has been deprecated and will be removed in a future version, the public classes are available in the top-level namespace</t>
    <phoneticPr fontId="1" type="noConversion"/>
  </si>
  <si>
    <t>pandas.json_normalize() is now exposed in the top-level namespace. Usage of json_normalize as pandas.io.json.json_normalize is now deprecated and it is recommended to use json_normalize as pandas.json_normalize() instead</t>
    <phoneticPr fontId="1" type="noConversion"/>
  </si>
  <si>
    <t xml:space="preserve">The pandas.util.testing module has been deprecated. Use the public API in pandas.testing documented at Assertion functions </t>
    <phoneticPr fontId="1" type="noConversion"/>
  </si>
  <si>
    <t xml:space="preserve">pandas.SparseArray has been deprecated. Use pandas.arrays.SparseArray (arrays.SparseArray) instead. </t>
    <phoneticPr fontId="1" type="noConversion"/>
  </si>
  <si>
    <t xml:space="preserve">The pandas.np submodule is now deprecated. Import numpy directly instead </t>
    <phoneticPr fontId="1" type="noConversion"/>
  </si>
  <si>
    <t xml:space="preserve">The pandas.datetime class is now deprecated. Import from datetime instead </t>
    <phoneticPr fontId="1" type="noConversion"/>
  </si>
  <si>
    <t>SparseSeries, SparseDataFrame and the DataFrame.to_sparse method have been removed (GH 28425). We recommend using a Series or DataFrame with sparse values instead.</t>
    <phoneticPr fontId="1" type="noConversion"/>
  </si>
  <si>
    <t>Removal of prior version deprecations/changes</t>
    <phoneticPr fontId="1" type="noConversion"/>
  </si>
  <si>
    <t>Removed StataReader.data method, use StataReader.read() instead</t>
    <phoneticPr fontId="1" type="noConversion"/>
  </si>
  <si>
    <t xml:space="preserve">Removed pandas.plotting._matplotlib.tsplot, use Series.plot()instead </t>
    <phoneticPr fontId="1" type="noConversion"/>
  </si>
  <si>
    <t>pandas.tseries.converter.register has been moved to pandas.plotting.register_matplotlib_converters()</t>
    <phoneticPr fontId="1" type="noConversion"/>
  </si>
  <si>
    <t>Removed Series.ix and DataFrame.ix</t>
    <phoneticPr fontId="1" type="noConversion"/>
  </si>
  <si>
    <t>Removed Index.summary</t>
    <phoneticPr fontId="1" type="noConversion"/>
  </si>
  <si>
    <t>Removed Series.get_value, Series.set_value, DataFrame.get_value, DataFrame.set_value</t>
    <phoneticPr fontId="1" type="noConversion"/>
  </si>
  <si>
    <t>Removed Series.compound and DataFrame.compound</t>
    <phoneticPr fontId="1" type="noConversion"/>
  </si>
  <si>
    <t>Removed Series.cat.categorical, Series.cat.index, Series.cat.name</t>
    <phoneticPr fontId="1" type="noConversion"/>
  </si>
  <si>
    <t>Removed Index.contains, use key in index instead</t>
    <phoneticPr fontId="1" type="noConversion"/>
  </si>
  <si>
    <t>Removed Series.ptp</t>
    <phoneticPr fontId="1" type="noConversion"/>
  </si>
  <si>
    <t>Removed Series.from_array</t>
    <phoneticPr fontId="1" type="noConversion"/>
  </si>
  <si>
    <t>Removed DataFrame.from_items</t>
    <phoneticPr fontId="1" type="noConversion"/>
  </si>
  <si>
    <t>Removed DataFrame.as_matrix, Series.as_matrix</t>
    <phoneticPr fontId="1" type="noConversion"/>
  </si>
  <si>
    <t>Removed Series.asobject</t>
    <phoneticPr fontId="1" type="noConversion"/>
  </si>
  <si>
    <t>Removed DataFrame.as_blocks, Series.as_blocks, DataFrame.blocks, Series.blocks</t>
    <phoneticPr fontId="1" type="noConversion"/>
  </si>
  <si>
    <t>Removed ExtensionArray._formatting_values. Use ExtensionArray._formatter instead.</t>
    <phoneticPr fontId="1" type="noConversion"/>
  </si>
  <si>
    <t>Removed MultiIndex.to_hierarchical</t>
    <phoneticPr fontId="1" type="noConversion"/>
  </si>
  <si>
    <t xml:space="preserve">Removed MultiIndex.labels, use MultiIndex.codes instead </t>
    <phoneticPr fontId="1" type="noConversion"/>
  </si>
  <si>
    <t>Removed MultiIndex.set_labels, use MultiIndex.set_codes() instead</t>
    <phoneticPr fontId="1" type="noConversion"/>
  </si>
  <si>
    <t>Removed IntervalIndex.from_intervals in favor of the IntervalIndexconstructor (</t>
    <phoneticPr fontId="1" type="noConversion"/>
  </si>
  <si>
    <t>Removed api.types.is_period and api.types.is_datetimetz</t>
    <phoneticPr fontId="1" type="noConversion"/>
  </si>
  <si>
    <t>Removed pandas.tseries.plotting.tsplot</t>
    <phoneticPr fontId="1" type="noConversion"/>
  </si>
  <si>
    <t>Removed the previously deprecated assert_raises_regex function in pandas._testing</t>
    <phoneticPr fontId="1" type="noConversion"/>
  </si>
  <si>
    <t>Removed the previously deprecated FrozenNDArray class in pandas.core.indexes.frozen</t>
    <phoneticPr fontId="1" type="noConversion"/>
  </si>
  <si>
    <t>Removed Index.is_lexsorted_for_tuple</t>
    <phoneticPr fontId="1" type="noConversion"/>
  </si>
  <si>
    <t>Removed Series.valid; use Series.dropna() instead</t>
    <phoneticPr fontId="1" type="noConversion"/>
  </si>
  <si>
    <t>Removed DataFrame.is_copy, Series.is_copy</t>
    <phoneticPr fontId="1" type="noConversion"/>
  </si>
  <si>
    <t>Removed DataFrame.get_ftype_counts, Series.get_ftype_counts</t>
    <phoneticPr fontId="1" type="noConversion"/>
  </si>
  <si>
    <t>Removed DataFrame.ftypes, Series.ftypes, Series.ftype</t>
    <phoneticPr fontId="1" type="noConversion"/>
  </si>
  <si>
    <t>Removed Index.get_duplicates, use idx[idx.duplicated()].unique() instead</t>
    <phoneticPr fontId="1" type="noConversion"/>
  </si>
  <si>
    <t>Removed Series.clip_upper, Series.clip_lower, DataFrame.clip_upper, DataFrame.clip_lower</t>
    <phoneticPr fontId="1" type="noConversion"/>
  </si>
  <si>
    <t>Removed DatetimeIndex.offset</t>
    <phoneticPr fontId="1" type="noConversion"/>
  </si>
  <si>
    <t>Removed DatetimeIndex.asobject, TimedeltaIndex.asobject, PeriodIndex.asobject, use astype(object) instead</t>
    <phoneticPr fontId="1" type="noConversion"/>
  </si>
  <si>
    <t>Removed Series.nonzero, use to_numpy().nonzero() instead</t>
    <phoneticPr fontId="1" type="noConversion"/>
  </si>
  <si>
    <t>Removed Series.put</t>
    <phoneticPr fontId="1" type="noConversion"/>
  </si>
  <si>
    <t>Removed Series.real, Series.imag</t>
    <phoneticPr fontId="1" type="noConversion"/>
  </si>
  <si>
    <t>Removed Series.to_dense, DataFrame.to_dense</t>
    <phoneticPr fontId="1" type="noConversion"/>
  </si>
  <si>
    <t>Removed Index.dtype_str, use str(index.dtype) instead</t>
    <phoneticPr fontId="1" type="noConversion"/>
  </si>
  <si>
    <t>Removed Series.get_dtype_counts and DataFrame.get_dtype_counts</t>
    <phoneticPr fontId="1" type="noConversion"/>
  </si>
  <si>
    <t>Removed Series.base, Index.base, Categorical.base, Series.flags, Index.flags, PeriodArray.flags, Series.strides, Index.strides, Series.itemsize, Index.itemsize, Series.data, Index.data</t>
    <phoneticPr fontId="1" type="noConversion"/>
  </si>
  <si>
    <t>Removed Timestamp.weekday_name, DatetimeIndex.weekday_name, and Series.dt.weekday_name</t>
    <phoneticPr fontId="1" type="noConversion"/>
  </si>
  <si>
    <t>Removed to_msgpack, read_msgpack, DataFrame.to_msgpack, Series.to_msgpack</t>
    <phoneticPr fontId="1" type="noConversion"/>
  </si>
  <si>
    <t>Removed Series.compress</t>
    <phoneticPr fontId="1" type="noConversion"/>
  </si>
  <si>
    <t>1.0.0</t>
    <phoneticPr fontId="1" type="noConversion"/>
  </si>
  <si>
    <t>4.0</t>
    <phoneticPr fontId="1" type="noConversion"/>
  </si>
  <si>
    <t>7.0</t>
    <phoneticPr fontId="1" type="noConversion"/>
  </si>
  <si>
    <t>7.1.1</t>
    <phoneticPr fontId="1" type="noConversion"/>
  </si>
  <si>
    <t>0.2</t>
    <phoneticPr fontId="1" type="noConversion"/>
  </si>
  <si>
    <t>1.1.1</t>
    <phoneticPr fontId="1" type="noConversion"/>
  </si>
  <si>
    <t>The flask.json_available flag was added back for compatibility with some extensions. It will raise a deprecation warning when used, and will be removed in version 2.0.0.</t>
    <phoneticPr fontId="1" type="noConversion"/>
  </si>
  <si>
    <t>1.1.4</t>
    <phoneticPr fontId="1" type="noConversion"/>
  </si>
  <si>
    <t>2.0.3</t>
    <phoneticPr fontId="1" type="noConversion"/>
  </si>
  <si>
    <t>0.6.0</t>
    <phoneticPr fontId="1" type="noConversion"/>
  </si>
  <si>
    <t>depreciate values(...) and replace with .dict(...)</t>
    <phoneticPr fontId="1" type="noConversion"/>
  </si>
  <si>
    <t>0.11.0</t>
    <phoneticPr fontId="1" type="noConversion"/>
  </si>
  <si>
    <t xml:space="preserve">breaking change: remove msgpack parsing </t>
    <phoneticPr fontId="1" type="noConversion"/>
  </si>
  <si>
    <t>0.32</t>
    <phoneticPr fontId="1" type="noConversion"/>
  </si>
  <si>
    <t>breaking change: remove __getattr__ and rename __values__ to __dict__ on BaseModel, deprecation warning on use __values__ attr, attributes access speed increased up to 14 times</t>
    <phoneticPr fontId="1" type="noConversion"/>
  </si>
  <si>
    <t>0.32.1</t>
    <phoneticPr fontId="1" type="noConversion"/>
  </si>
  <si>
    <t>1.5.1</t>
    <phoneticPr fontId="1" type="noConversion"/>
  </si>
  <si>
    <t>The modules helpmod, ppimport and pexec from scipy.misc are deprecated. They will be removed from SciPy in version 0.9.</t>
    <phoneticPr fontId="1" type="noConversion"/>
  </si>
  <si>
    <t>Deprecated features</t>
    <phoneticPr fontId="1" type="noConversion"/>
  </si>
  <si>
    <t>The io.recaster module has been deprecated and will be removed in 0.9.0.</t>
    <phoneticPr fontId="1" type="noConversion"/>
  </si>
  <si>
    <t>scipy.stsci: the package was removed</t>
    <phoneticPr fontId="1" type="noConversion"/>
  </si>
  <si>
    <t>Removed features</t>
    <phoneticPr fontId="1" type="noConversion"/>
  </si>
  <si>
    <t>The module scipy.misc.limits was removed.</t>
    <phoneticPr fontId="1" type="noConversion"/>
  </si>
  <si>
    <t>Several functions in scipy.io are removed in the 0.8.0 release including: npfile, save, load, create_module, create_shelf, objload, objsave, fopen, read_array, write_array, fread, fwrite, bswap, packbits, unpackbits, and convert_objectarray. Some of these functions have been replaced by NumPy’s raw reading and writing capabilities, memory-mapping capabilities, or array methods. Others have been moved from SciPy to NumPy, since basic array reading and writing capability is now handled by NumPy.</t>
    <phoneticPr fontId="1" type="noConversion"/>
  </si>
  <si>
    <t>Passing the coefficients of a polynomial as the argument f0 to signal.chirp is deprecated. Use the function signal.sweep_poly instead.</t>
    <phoneticPr fontId="1" type="noConversion"/>
  </si>
  <si>
    <t>1.6.2</t>
    <phoneticPr fontId="1" type="noConversion"/>
  </si>
  <si>
    <t>1.7.3</t>
    <phoneticPr fontId="1" type="noConversion"/>
  </si>
  <si>
    <t>1.10.1</t>
    <phoneticPr fontId="1" type="noConversion"/>
  </si>
  <si>
    <t>1.13.1</t>
    <phoneticPr fontId="1" type="noConversion"/>
  </si>
  <si>
    <t>3.1.0</t>
    <phoneticPr fontId="1" type="noConversion"/>
  </si>
  <si>
    <t>3.3.2</t>
    <phoneticPr fontId="1" type="noConversion"/>
  </si>
  <si>
    <t>3.4.0</t>
    <phoneticPr fontId="1" type="noConversion"/>
  </si>
  <si>
    <t>The nominally private/debugging function Image.core.open_ppm has been removed. If you were using this function, please use Image.open instead.</t>
    <phoneticPr fontId="1" type="noConversion"/>
  </si>
  <si>
    <t>Backwards Incompatible Changes</t>
    <phoneticPr fontId="1" type="noConversion"/>
  </si>
  <si>
    <t>7.1.2</t>
    <phoneticPr fontId="1" type="noConversion"/>
  </si>
  <si>
    <t>Changlog</t>
    <phoneticPr fontId="1" type="noConversion"/>
  </si>
  <si>
    <t>ensemble.partial_dependence and ensemble.plot_partial_dependence are now deprecated in favor of inspection.partial_dependence and inspection.plot_partial_dependence&lt;sklearn.inspection.plot_partial_dependence&gt;.</t>
    <phoneticPr fontId="1" type="noConversion"/>
  </si>
  <si>
    <t>linear_model.logistic_regression_path is deprecated in version 0.21 and will be removed in version 0.23.</t>
    <phoneticPr fontId="1" type="noConversion"/>
  </si>
  <si>
    <t>0.15.1</t>
    <phoneticPr fontId="1" type="noConversion"/>
  </si>
  <si>
    <t>0.15.2</t>
    <phoneticPr fontId="1" type="noConversion"/>
  </si>
  <si>
    <t>0.16.1</t>
    <phoneticPr fontId="1" type="noConversion"/>
  </si>
  <si>
    <t>0.21.0</t>
    <phoneticPr fontId="1" type="noConversion"/>
  </si>
  <si>
    <t>pylab no longer provides a load and save function. These are available in matplotlib.mlab, or you can use numpy.loadtxt and numpy.savetxt for text files, or np.save and np.load for binary NumPy arrays.</t>
    <phoneticPr fontId="1" type="noConversion"/>
  </si>
  <si>
    <t>Changes in 0.99</t>
    <phoneticPr fontId="1" type="noConversion"/>
  </si>
  <si>
    <t>There is a new rc parameter axes.color_cycle, and the color cycle is now independent of the rc parameter lines.color. matplotlib.Axes.set_default_color_cycle is deprecated.</t>
    <phoneticPr fontId="1" type="noConversion"/>
  </si>
  <si>
    <t>Changes beyond 0.99.x</t>
    <phoneticPr fontId="1" type="noConversion"/>
  </si>
  <si>
    <t>The unused and untested Artist.onRemove and Artist.hitlist methods have been deprecated.</t>
    <phoneticPr fontId="1" type="noConversion"/>
  </si>
  <si>
    <t>The now unused mlab.less_simple_linear_interpolation function is deprecated.</t>
    <phoneticPr fontId="1" type="noConversion"/>
  </si>
  <si>
    <t>The unused ContourLabeler.get_real_label_width method is deprecated.</t>
    <phoneticPr fontId="1" type="noConversion"/>
  </si>
  <si>
    <t>The unused FigureManagerBase.show_popup method is deprecated. This introduced in e945059b327d42a99938b939a1be867fa023e7ba in 2005 but never built out into any of the backends.</t>
    <phoneticPr fontId="1" type="noConversion"/>
  </si>
  <si>
    <t>backend_tkagg.AxisMenu is deprecated, as it has become unused since the removal of "classic" toolbars.</t>
    <phoneticPr fontId="1" type="noConversion"/>
  </si>
  <si>
    <t>Deprecated Axis.unit_data
Use Axis.units (which has long existed) instead.</t>
    <phoneticPr fontId="1" type="noConversion"/>
  </si>
  <si>
    <t xml:space="preserve">The matplotlib.finance, mpl_toolkits.exceltools and mpl_toolkits.gtktoolsmodules have been removed. </t>
    <phoneticPr fontId="1" type="noConversion"/>
  </si>
  <si>
    <t>Removals</t>
    <phoneticPr fontId="1" type="noConversion"/>
  </si>
  <si>
    <t>The mpl_toolkits.mplot3d.art3d.iscolor function has been removed.</t>
    <phoneticPr fontId="1" type="noConversion"/>
  </si>
  <si>
    <t>The Axes.get_axis_bgcolor, Axes.set_axis_bgcolor, Bbox.update_from_data, Bbox.update_datalim_numerix, MaxNLocator.bin_boundaries methods have been removed</t>
    <phoneticPr fontId="1" type="noConversion"/>
  </si>
  <si>
    <t>The unused FONT_SCALE and fontd attributes of the RendererSVG class have been removed.</t>
    <phoneticPr fontId="1" type="noConversion"/>
  </si>
  <si>
    <t>The spectral colormap has been removed. The Vega* colormaps, which were aliases for the tab* colormaps, have been removed.</t>
    <phoneticPr fontId="1" type="noConversion"/>
  </si>
  <si>
    <t>Many unused imports were removed from the codebase. As a result, trying to import certain classes or functions from the "wrong" module (e.g. Figure from matplotlib.backends.backend_agg instead of matplotlib.figure) will now raise an ImportError.</t>
    <phoneticPr fontId="1" type="noConversion"/>
  </si>
  <si>
    <t>To support both Agg and cairo rendering for Qt backends all of the non-Agg specific code previously in backend_qt5agg.FigureCanvasQTAggBase has been moved to backend_qt5.FigureCanvasQT so it can be shared with the cairo implementation. The FigureCanvasQTAggBase.paintEvent, FigureCanvasQTAggBase.blit, and FigureCanvasQTAggBase.print_figure methods have moved to FigureCanvasQTAgg.paintEvent, FigureCanvasQTAgg.blit, and FigureCanvasQTAgg.print_figure. The first two methods assume that the instance is also a QWidget so to use FigureCanvasQTAggBase it was required to multiple inherit from a QWidget sub-class.</t>
    <phoneticPr fontId="1" type="noConversion"/>
  </si>
  <si>
    <t>Changes to Qt backend class MRO</t>
    <phoneticPr fontId="1" type="noConversion"/>
  </si>
  <si>
    <t>Having moved all of its methods either up or down the class hierarchy FigureCanvasQTAggBase has been deprecated. To do this without warning and to preserve as much API as possible, .backend_qt5agg.FigureCanvasQTAggBase now inherits from backend_qt5.FigureCanvasQTAgg.</t>
    <phoneticPr fontId="1" type="noConversion"/>
  </si>
  <si>
    <t>The Axes.rowNum and Axes.colNum attributes are deprecated, as they only refer to the first grid cell covered by the Axes. Instead, use the new ax.get_subplotspec().rowspan and ax.get_subplotspec().colspan properties, which are range objects indicating the whole span of rows and columns covered by the subplot.</t>
    <phoneticPr fontId="1" type="noConversion"/>
  </si>
  <si>
    <t>Behavior changes</t>
    <phoneticPr fontId="1" type="noConversion"/>
  </si>
  <si>
    <t>.pyplot.plotfile is deprecated in favor of separately loading and plotting the data. Use pandas or NumPy to load data, and pandas or matplotlib to plot the resulting data.</t>
    <phoneticPr fontId="1" type="noConversion"/>
  </si>
  <si>
    <t>The mpl_toolkits.axes_grid1.colorbar module and its colorbar implementation are deprecated in favor of matplotlib.colorbar, as the former is essentially abandoned and the latter is a more featureful replacement with a nearly compatible API (for example, the following additional keywords are supported: panchor, extendfrac, extendrect).</t>
    <phoneticPr fontId="1" type="noConversion"/>
  </si>
  <si>
    <t xml:space="preserve">mplot3d.axis3d.get_flip_min_max is deprecated.  </t>
    <phoneticPr fontId="1" type="noConversion"/>
  </si>
  <si>
    <t>axes3d.unit_bbox is deprecated (use Bbox.unit instead).</t>
    <phoneticPr fontId="1" type="noConversion"/>
  </si>
  <si>
    <t>axes3d.Axes3D.w_xaxis, .w_yaxis, and .w_zaxis are deprecated (use .xaxis, .yaxis, and .zaxis instead).</t>
    <phoneticPr fontId="1" type="noConversion"/>
  </si>
  <si>
    <t>cm.revcmap is deprecated. Use Colormap.reversed to reverse a colormap.</t>
    <phoneticPr fontId="1" type="noConversion"/>
  </si>
  <si>
    <t>cm.datad no longer contains entries for reversed colormaps in their "unconverted" form.</t>
    <phoneticPr fontId="1" type="noConversion"/>
  </si>
  <si>
    <t>mpl_toolkits.axisartist.grid_finder.GridFinderBase is deprecated (its only use is to be inherited by the GridFinder class which just provides more defaults in the constructor and directly sets the transforms, so GridFinderBase's methods were just moved to GridFinder).</t>
    <phoneticPr fontId="1" type="noConversion"/>
  </si>
  <si>
    <t>axisartist.axis_artist.BezierPath is deprecated (use patches.PathPatch to draw arbitrary Paths).</t>
    <phoneticPr fontId="1" type="noConversion"/>
  </si>
  <si>
    <t>For the mpl_toolkits.axisartist.axis_artist.AttributeCopier class, the constructor and the set_ref_artist method, and the default_value parameter of get_attribute_from_ref_artist, are deprecated.</t>
    <phoneticPr fontId="1" type="noConversion"/>
  </si>
  <si>
    <t>The unused Locator.autoscale method is deprecated (pass the axis limits to Locator.view_limits instead).</t>
    <phoneticPr fontId="1" type="noConversion"/>
  </si>
  <si>
    <t>The following methods and attributes of the MovieWriterRegistry class are deprecated: set_dirty, ensure_not_dirty, reset_available_writers, avail.</t>
    <phoneticPr fontId="1" type="noConversion"/>
  </si>
  <si>
    <t>The "smart_bounds" functionality is deprecated. This includes Axis.set_smart_bounds(), Axis.get_smart_bounds(), Spine.set_smart_bounds(), and Spine.get_smart_bounds().</t>
    <phoneticPr fontId="1" type="noConversion"/>
  </si>
  <si>
    <t>The rcsetup.validate_animation_writer_path function is deprecated.</t>
    <phoneticPr fontId="1" type="noConversion"/>
  </si>
  <si>
    <t xml:space="preserve">rcsetup.update_savefig_format is deprecated. </t>
    <phoneticPr fontId="1" type="noConversion"/>
  </si>
  <si>
    <t>rcsetup.validate_path_exists is deprecated (use os.path.exists to check whether a path exists).</t>
    <phoneticPr fontId="1" type="noConversion"/>
  </si>
  <si>
    <t xml:space="preserve">rcsetup.ValidateInterval is deprecated. </t>
    <phoneticPr fontId="1" type="noConversion"/>
  </si>
  <si>
    <t>dates.mx2num is deprecated.</t>
    <phoneticPr fontId="1" type="noConversion"/>
  </si>
  <si>
    <t>NavigationToolbar2Tk.set_active is deprecated, as it has no (observable) effect.</t>
    <phoneticPr fontId="1" type="noConversion"/>
  </si>
  <si>
    <t>FigureFrameWx.statusbar and NavigationToolbar2Wx.statbar are deprecated. The status bar can be retrieved by calling standard wx methods (frame.GetStatusBar() and toolbar.GetTopLevelParent().GetStatusBar()).</t>
    <phoneticPr fontId="1" type="noConversion"/>
  </si>
  <si>
    <t>backend_wx.ConfigureSubplotsWx.configure_subplots and backend_wx.ConfigureSubplotsWx.get_canvas are deprecated.</t>
    <phoneticPr fontId="1" type="noConversion"/>
  </si>
  <si>
    <t>backend_pgf.repl_escapetext and backend_pgf.repl_mathdefault are deprecated.</t>
    <phoneticPr fontId="1" type="noConversion"/>
  </si>
  <si>
    <t>RendererPgf.latexManager is deprecated.</t>
    <phoneticPr fontId="1" type="noConversion"/>
  </si>
  <si>
    <t>FigureCanvasBase.draw_cursor (which has never done anything and has never been overridden in any backend) is deprecated.</t>
    <phoneticPr fontId="1" type="noConversion"/>
  </si>
  <si>
    <t>FigureCanvasMac.invalidate is deprecated in favor of its synonym, FigureCanvasMac.draw_idle.</t>
    <phoneticPr fontId="1" type="noConversion"/>
  </si>
  <si>
    <t>quiver.QuiverKey.quiverkey_doc is deprecated; use quiver.QuiverKey.__init__.__doc__ instead.</t>
    <phoneticPr fontId="1" type="noConversion"/>
  </si>
  <si>
    <t>mlab.apply_window and mlab.stride_repeat are deprecated.</t>
    <phoneticPr fontId="1" type="noConversion"/>
  </si>
  <si>
    <t>font_manager.JSONEncoder is deprecated. Use font_manager.json_dump to dump a FontManager instance.</t>
    <phoneticPr fontId="1" type="noConversion"/>
  </si>
  <si>
    <t>font_manager.createFontList is deprecated. font_manager.FontManager.addfont is now available to register a font at a given path.</t>
    <phoneticPr fontId="1" type="noConversion"/>
  </si>
  <si>
    <t>The as_str, as_rgba_str, as_array, get_width and get_height methods of matplotlib.ft2font.FT2Image are deprecated. Convert the FT2Image to a NumPy array with np.asarray before processing it.</t>
    <phoneticPr fontId="1" type="noConversion"/>
  </si>
  <si>
    <t>The function matplotlib.colors.makeMappingArray is not considered part of the public API any longer. Thus, it's deprecated.</t>
    <phoneticPr fontId="1" type="noConversion"/>
  </si>
  <si>
    <t>The matplotlib.testing.disable_internet module is deprecated. Use (for example) pytest-remotedata instead.</t>
    <phoneticPr fontId="1" type="noConversion"/>
  </si>
  <si>
    <t>Support in matplotlib.testing for nose-based tests is deprecated (a deprecation is emitted if using e.g. the decorators from that module while both 1) matplotlib's conftests have not been called and 2) nose is in sys.modules).</t>
    <phoneticPr fontId="1" type="noConversion"/>
  </si>
  <si>
    <t xml:space="preserve">testing.is_called_from_pytest is deprecated. </t>
    <phoneticPr fontId="1" type="noConversion"/>
  </si>
  <si>
    <t xml:space="preserve">testing.jpl_units.UnitDbl.UnitDbl.checkUnits is deprecated.  </t>
    <phoneticPr fontId="1" type="noConversion"/>
  </si>
  <si>
    <t>DivergingNorm renamed to TwoSlopeNorm</t>
    <phoneticPr fontId="1" type="noConversion"/>
  </si>
  <si>
    <t>matplotlib.get_home is deprecated (use e.g. os.path.expanduser("~")) instead.</t>
    <phoneticPr fontId="1" type="noConversion"/>
  </si>
  <si>
    <t>matplotlib.compare_versions is deprecated (use comparison of distutils.version.LooseVersions instead).</t>
    <phoneticPr fontId="1" type="noConversion"/>
  </si>
  <si>
    <t xml:space="preserve">matplotlib.checkdep_ps_distiller is deprecated.  </t>
    <phoneticPr fontId="1" type="noConversion"/>
  </si>
  <si>
    <t>matplotlib.figure.AxesStack is considered private API and will be removed from the public API in future versions.</t>
    <phoneticPr fontId="1" type="noConversion"/>
  </si>
  <si>
    <t>BboxBase.is_unit is deprecated (check the Bbox extents if needed).</t>
    <phoneticPr fontId="1" type="noConversion"/>
  </si>
  <si>
    <t>Affine2DBase.matrix_from_values(...) is deprecated. Use (for example) Affine2D.from_values(...).get_matrix() instead.</t>
    <phoneticPr fontId="1" type="noConversion"/>
  </si>
  <si>
    <t>style.core.is_style_file and style.core.iter_style_files are deprecated.</t>
    <phoneticPr fontId="1" type="noConversion"/>
  </si>
  <si>
    <t>The matplotlib.testing.determinism module, which exposes no public API, has been deleted.</t>
    <phoneticPr fontId="1" type="noConversion"/>
  </si>
  <si>
    <t>The datapath rcParam
Use get_data_path instead. (The rcParam is deprecated because it cannot be meaningfully set by an end user.) The rcParam had no effect from 3.2.0, but was deprecated only in 3.2.1. In 3.2.1+ if 'datapath' is set in a matplotlibrc file it will be respected, but this behavior will be removed in 3.3.</t>
    <phoneticPr fontId="1" type="noConversion"/>
  </si>
  <si>
    <t>The following members of matplotlib.backends.backend_pdf.PdfFile were removed:
nextObject
nextFont
nextAlphaState
nextHatch
nextImage
alphaStateObject</t>
    <phoneticPr fontId="1" type="noConversion"/>
  </si>
  <si>
    <t>The required_interactive_framework attribute of backend modules introduced in Matplotlib 3.0 has been moved to the FigureCanvas class, in order to let it be inherited by third-party canvas subclasses and to make it easier to know what interactive framework is required by a canvas class.</t>
    <phoneticPr fontId="1" type="noConversion"/>
  </si>
  <si>
    <t>backend_qt4.FigureCanvasQT5, which is an alias for backend_qt5.FigureCanvasQT (but only exists under that name in backend_qt4), has been removed.</t>
    <phoneticPr fontId="1" type="noConversion"/>
  </si>
  <si>
    <t>The use of plot_date is discouraged. This method exists for historic reasons and may be deprecated in the future.</t>
    <phoneticPr fontId="1" type="noConversion"/>
  </si>
  <si>
    <t>epoch2num and num2epoch are deprecated</t>
    <phoneticPr fontId="1" type="noConversion"/>
  </si>
  <si>
    <t>The active_handle attribute has been privatized and deprecated.</t>
    <phoneticPr fontId="1" type="noConversion"/>
  </si>
  <si>
    <t>The drawtype attribute has been privatized and deprecated.</t>
    <phoneticPr fontId="1" type="noConversion"/>
  </si>
  <si>
    <t>The eventpress attribute has been privatized and deprecated.</t>
    <phoneticPr fontId="1" type="noConversion"/>
  </si>
  <si>
    <t>The eventrelease attribute has been privatized and deprecated.</t>
    <phoneticPr fontId="1" type="noConversion"/>
  </si>
  <si>
    <t>The interactive attribute has been privatized and deprecated.</t>
    <phoneticPr fontId="1" type="noConversion"/>
  </si>
  <si>
    <t>The rectprops attribute has been privatized and deprecated.</t>
    <phoneticPr fontId="1" type="noConversion"/>
  </si>
  <si>
    <t>The state attribute has been privatized and deprecated.</t>
    <phoneticPr fontId="1" type="noConversion"/>
  </si>
  <si>
    <t>The to_draw attribute has been privatized and deprecated.</t>
    <phoneticPr fontId="1" type="noConversion"/>
  </si>
  <si>
    <t>he line attribute is deprecated. If you want to change the selector artist properties, use the set_props or set_handle_props methods.</t>
    <phoneticPr fontId="1" type="noConversion"/>
  </si>
  <si>
    <t>The lineprops argument is deprecated, use props instead.</t>
    <phoneticPr fontId="1" type="noConversion"/>
  </si>
  <si>
    <t>The maxdist argument and attribute is deprecated, use grab_range instead.</t>
    <phoneticPr fontId="1" type="noConversion"/>
  </si>
  <si>
    <t>The vertex_select_radius argument and attribute is deprecated, use grab_rangeinstead.</t>
    <phoneticPr fontId="1" type="noConversion"/>
  </si>
  <si>
    <t>The pressv attribute has been privatized and deprecated.</t>
    <phoneticPr fontId="1" type="noConversion"/>
  </si>
  <si>
    <t>The prev attribute has been privatized and deprecated.</t>
    <phoneticPr fontId="1" type="noConversion"/>
  </si>
  <si>
    <t>The rect attribute has been privatized and deprecated.</t>
    <phoneticPr fontId="1" type="noConversion"/>
  </si>
  <si>
    <t>The span_stays attribute has been privatized and deprecated.</t>
    <phoneticPr fontId="1" type="noConversion"/>
  </si>
  <si>
    <t>The onpress and onrelease methods are deprecated. They are straight aliases for press and release.</t>
    <phoneticPr fontId="1" type="noConversion"/>
  </si>
  <si>
    <t>The set_view_interval, set_data_interval and set_bounds methods of Locators and Formatters (and their common base class, TickHelper) are deprecated. Directly manipulate the view and data intervals on the underlying axis instead.</t>
    <phoneticPr fontId="1" type="noConversion"/>
  </si>
  <si>
    <t>backend_tools.SetCursorBase was subclassed to provide backend-specific implementations of set_cursor. As that is now deprecated, the subclassing is no longer necessary. Consequently, the following subclasses are also deprecated:
• matplotlib.backends.backend_gtk3.SetCursorGTK3
• matplotlib.backends.backend_qt5.SetCursorQt
• matplotlib.backends._backend_tk.SetCursorTk
• matplotlib.backends.backend_wx.SetCursorWx
Instead, use the backend_tools.ToolSetCursor class.</t>
    <phoneticPr fontId="1" type="noConversion"/>
  </si>
  <si>
    <t>The backend_gtk3.cursord, backend_qt.cursord, and backend_wx.cursorddictionaries are deprecated. This makes the GTK module importable on headless environments.</t>
    <phoneticPr fontId="1" type="noConversion"/>
  </si>
  <si>
    <t>is_url and URL_REGEX are deprecated. (They were previously defined in the toplevel matplotlib module.)</t>
    <phoneticPr fontId="1" type="noConversion"/>
  </si>
  <si>
    <t>The ArrowStyle.beginarrow and ArrowStyle.endarrow attributes are deprecated; use the arrow attribute to define the desired heads and tails of the arrow.</t>
  </si>
  <si>
    <t>backend_pgf.LatexManager.str_cache is deprecated.</t>
    <phoneticPr fontId="1" type="noConversion"/>
  </si>
  <si>
    <t>backends.qt_compat.ETS and backends.qt_compat.QT_RC_MAJOR_VERSIONare deprecated, with no replacement.</t>
    <phoneticPr fontId="1" type="noConversion"/>
  </si>
  <si>
    <t>The blocking_input module has been deprecated. Instead, use canvas.start_event_loop() and canvas.stop_event_loop() while connecting event callbacks as needed.</t>
    <phoneticPr fontId="1" type="noConversion"/>
  </si>
  <si>
    <t>cbook.report_memory is deprecated; use psutil.virtual_memory instead.</t>
    <phoneticPr fontId="1" type="noConversion"/>
  </si>
  <si>
    <t>cm.LUTSIZE is deprecated. Use rcParams["image.lut"] (default: 256) instead. This value only affects colormap quantization levels for default colormaps generated at module import time.</t>
    <phoneticPr fontId="1" type="noConversion"/>
  </si>
  <si>
    <t>Colorbar.patch is deprecated; this attribute is not correctly updated anymore.</t>
    <phoneticPr fontId="1" type="noConversion"/>
  </si>
  <si>
    <t>ContourLabeler.get_label_width is deprecated.</t>
    <phoneticPr fontId="1" type="noConversion"/>
  </si>
  <si>
    <t>Dvi.baseline is deprecated (with no replacement).</t>
    <phoneticPr fontId="1" type="noConversion"/>
  </si>
  <si>
    <t>FancyArrowPatch.get_path_in_displaycoord and ConnectionPath.get_path_in_displaycoord are deprecated. The path in display coordinates can still be obtained, as for other patches, using patch.get_transform().transform_path(patch.get_path()).</t>
    <phoneticPr fontId="1" type="noConversion"/>
  </si>
  <si>
    <t>The font_manager.win32InstalledFonts and font_manager.get_fontconfig_fonts helper functions have been deprecated.</t>
    <phoneticPr fontId="1" type="noConversion"/>
  </si>
  <si>
    <t>QuadMesh.convert_mesh_to_paths and QuadMesh.convert_mesh_to_triangles are deprecated. QuadMesh.get_paths() can be used as an alternative for the former; there is no replacement for the latter.</t>
    <phoneticPr fontId="1" type="noConversion"/>
  </si>
  <si>
    <t>ScalarMappable.callbacksSM is deprecated. Use ScalarMappable.callbacks instead.</t>
    <phoneticPr fontId="1" type="noConversion"/>
  </si>
  <si>
    <t>streamplot.get_integrator is deprecated.</t>
    <phoneticPr fontId="1" type="noConversion"/>
  </si>
  <si>
    <t>style.core.STYLE_FILE_PATTERN, style.core.load_base_library, and style.core.iter_user_libraries are deprecated.</t>
    <phoneticPr fontId="1" type="noConversion"/>
  </si>
  <si>
    <t>SubplotParams.validate is deprecated. Use SubplotParams.update to change SubplotParams while always keeping it in a valid state.</t>
  </si>
  <si>
    <t>The grey_arrayd, font_family, font_families, and font_info attributes of TexManager are deprecated.</t>
    <phoneticPr fontId="1" type="noConversion"/>
  </si>
  <si>
    <t>Text.get_prop_tup is deprecated with no replacements (because the Text class cannot know whether a backend needs to update cache e.g. when the text's color changes).</t>
    <phoneticPr fontId="1" type="noConversion"/>
  </si>
  <si>
    <t>Tick.apply_tickdir didn't actually update the tick markers on the existing Line2D objects used to draw the ticks and is deprecated; use Axis.set_tick_params instead.</t>
    <phoneticPr fontId="1" type="noConversion"/>
  </si>
  <si>
    <t>tight_layout.auto_adjust_subplotpars is deprecated.</t>
    <phoneticPr fontId="1" type="noConversion"/>
  </si>
  <si>
    <t>The grid_info attribute of axisartist classes has been deprecated.</t>
    <phoneticPr fontId="1" type="noConversion"/>
  </si>
  <si>
    <t>axisartist.clip_path is deprecated with no replacement.</t>
    <phoneticPr fontId="1" type="noConversion"/>
  </si>
  <si>
    <t>axes_grid1.axes_grid.CbarAxes and axes_grid1.axisartist.CbarAxes are deprecated (they are now dynamically generated based on the owning axes class).</t>
    <phoneticPr fontId="1" type="noConversion"/>
  </si>
  <si>
    <t>The axes_grid1.Divider.get_vsize_hsize and axes_grid1.Grid.get_vsize_hsize methods are deprecated. Copy their implementations if needed.</t>
    <phoneticPr fontId="1" type="noConversion"/>
  </si>
  <si>
    <t>AxesDivider.append_axes(..., add_to_figure=False) is deprecated. Use ax.remove() to remove the Axes from the figure if needed.</t>
    <phoneticPr fontId="1" type="noConversion"/>
  </si>
  <si>
    <t>FixedAxisArtistHelper.change_tick_coord is deprecated with no replacement.</t>
    <phoneticPr fontId="1" type="noConversion"/>
  </si>
  <si>
    <t>floating_axes.GridHelperCurveLinear.get_boundary is deprecated, with no replacement.</t>
    <phoneticPr fontId="1" type="noConversion"/>
  </si>
  <si>
    <t>ParasiteAxesBase.get_images_artists has been deprecated.</t>
    <phoneticPr fontId="1" type="noConversion"/>
  </si>
  <si>
    <t>The "units finalize" signal (previously emitted by Axis instances) is deprecated. Connect to "units" instead.</t>
    <phoneticPr fontId="1" type="noConversion"/>
  </si>
  <si>
    <t>The following helpers in matplotlib.sphinxext.plot_directive are deprecated:
unescape_doctest (use doctest.script_from_examples instead),
split_code_at_show,
run_code.</t>
    <phoneticPr fontId="1" type="noConversion"/>
  </si>
  <si>
    <t>matplotlib.test() is deprecated
Run tests using pytest from the commandline instead. The variable matplotlib.default_test_modules is only used for matplotlib.test() and is thus deprecated as well.</t>
    <phoneticPr fontId="1" type="noConversion"/>
  </si>
  <si>
    <t>Modules
matplotlib.backends.qt_editor.formsubplottool; use matplotlib.backends.backend_qt.SubplotToolQt instead.
matplotlib.compat
matplotlib.ttconv
The Qt4-based backends, qt4agg and qt4cairo, have been removed. Qt4 has reached its end-of-life in 2015 and there are no releases of either PyQt4 or PySide for recent versions of Python. Please use one of the Qt5 or Qt6 backends</t>
    <phoneticPr fontId="1" type="noConversion"/>
  </si>
  <si>
    <t>matplotlib.compat</t>
    <phoneticPr fontId="1" type="noConversion"/>
  </si>
  <si>
    <t>The following module-level classes/variables have been removed:
• backend_bases.StatusbarBase and all its subclasses, and StatusBarWx; messages are displayed in the toolbar
• backend_pgf.GraphicsContextPgf
• MODIFIER_KEYS, SUPER, ALT, CTRL, and SHIFT of matplotlib.backends.backend_qt5agg and matplotlib.backends.backend_qt5cairo
• backend_wx.DEBUG_MSG
• dviread.Encoding
• Fil, Fill, Filll, NegFil, NegFill, NegFilll, and SsGlue from mathtext; directly construct glue instances with Glue("fil"), etc.
• mathtext.GlueSpec
• OldScalarFormatter, IndexFormatter and IndexDateFormatter; use FuncFormatter instead
• OldAutoLocator
• AVConvBase, AVConvWriter and AVConvFileWriter. Debian 8 (2015, EOL 06/2020) and Ubuntu 14.04 (EOL 04/2019) were the last versions of Debian and Ubuntu to ship avconv. It remains possible to force the use of avconv by using the FFmpeg-based writers with rcParams["animation.ffmpeg_path"] (default: 'ffmpeg') set to "avconv".
• matplotlib.axes._subplots._subplot_classes
• axes_grid1.axes_rgb.RGBAxesBase; use RGBAxes instead</t>
    <phoneticPr fontId="1" type="noConversion"/>
  </si>
  <si>
    <t>The following class attributes have been removed:
backend_pgf.LatexManager.latex_stdin_utf8
backend_pgf.PdfPages.metadata
ContourSet.ax and Quiver.ax; use ContourSet.axes or Quiver.axes as with other artists
DateFormatter.illegal_s
dates.YearLocator.replaced; YearLocator is now a subclass of RRuleLocator, and the attribute YearLocator.replaced has been removed. For tick locations that required modifying this, a custom rrule and RRuleLocator can be used instead.
FigureManagerBase.statusbar; messages are displayed in the toolbar
FileMovieWriter.clear_temp
mathtext.Glue.glue_subtype
MovieWriter.args_key, MovieWriter.exec_key, and HTMLWriter.args_key
NavigationToolbar2QT.basedir; the base directory to the icons is os.path.join(mpl.get_data_path(), "images")
NavigationToolbar2QT.ctx
NavigationToolbar2QT.parent; to access the parent window, use toolbar.canvas.parent() or toolbar.parent()
prevZoomRect, retinaFix, savedRetinaImage, wxoverlay, zoomAxes, zoomStartX, and zoomStartY attributes of NavigationToolbar2Wx
NonUniformImage.is_grayscale, PcolorImage.is_grayscale, for consistency with AxesImage.is_grayscale. (Note that previously, these attributes were only available after rendering the image).
RendererCairo.fontweights, RendererCairo.fontangles
used_characters of RendererPdf, PdfFile, and RendererPS
LogScale.LogTransform, LogScale.InvertedLogTransform, SymmetricalScale.SymmetricalTransform, and SymmetricalScale.InvertedSymmetricalTransform; directly access the transform classes from matplotlib.scale
cachedir, rgba_arrayd, serif, sans_serif, cursive, and monospace attributes of TexManager
axleft, axright, axbottom, axtop, axwspace, and axhspace attributes of widgets.SubplotTool; access the ax attribute of the corresponding slider
widgets.TextBox.params_to_disable
angle_helper.LocatorBase.den; it has been renamed to nbins
axes_grid.CbarAxesBase.cbid and axes_grid.CbarAxesBase.locator; use mappable.colorbar_cid or colorbar.locator instead</t>
    <phoneticPr fontId="1" type="noConversion"/>
  </si>
  <si>
    <t>The following class methods have been removed:
• Axes.update_datalim_bounds; use ax.dataLim.set(Bbox.union([ax.dataLim, bounds]))
• pan and zoom methods of Axis and Locator have been removed; panning and zooming are now implemented using the start_pan, drag_pan, and end_pan methods of Axes
• .BboxBase.inverse_transformed; call BboxBase.transformed on the inverted() transform
• Collection.set_offset_position and Collection.get_offset_positionhave been removed; the offset_position of the Collection class is now "screen"
• Colorbar.on_mappable_changed and Colorbar.update_bruteforce; use Colorbar.update_normal() instead
• docstring.Substitution.from_params has been removed; directly assign to params of docstring.Substitution instead
• DraggableBase.artist_picker; set the artist's picker instead
• DraggableBase.on_motion_blit; use DraggableBase.on_motion instead
• FigureCanvasGTK3._renderer_init
• Locator.refresh() and the associated helper methods NavigationToolbar2.draw() and ToolViewsPositions.refresh_locators()
• track_characters and merge_used_characters of RendererPdf, PdfFile, and RendererPS
• RendererWx.get_gc
• SubplotSpec.get_rows_columns; use the GridSpec.nrows, GridSpec.ncols, SubplotSpec.rowspan, and SubplotSpec.colspanproperties instead.
• ScalarMappable.update_dict, ScalarMappable.add_checker(), and ScalarMappable.check_update(); register a callback in ScalarMappable.callbacks to be notified of updates
• TexManager.make_tex_preview and TexManager.make_dvi_preview
• funcleft, funcright, funcbottom, functop, funcwspace, and funchspace methods of widgets.SubplotTool
• axes_grid1.axes_rgb.RGBAxes.add_RGB_to_figure
• axisartist.axis_artist.AxisArtist.dpi_transform
• axisartist.grid_finder.MaxNLocator.set_factor and axisartist.grid_finder.FixedLocator.set_factor; the factor is always 1 now</t>
    <phoneticPr fontId="1" type="noConversion"/>
  </si>
  <si>
    <t>bezier.make_path_regular has been removed; use Path.cleaned() (or Path.cleaned(curves=True), etc.) instead, but note that these methods add a STOP code at the end of the path.</t>
    <phoneticPr fontId="1" type="noConversion"/>
  </si>
  <si>
    <t>bezier.concatenate_paths has been removed; use Path.make_compound_path() instead.</t>
    <phoneticPr fontId="1" type="noConversion"/>
  </si>
  <si>
    <t>cbook.local_over_kwdict has been removed; use cbook.normalize_kwargs instead.</t>
    <phoneticPr fontId="1" type="noConversion"/>
  </si>
  <si>
    <t>qt_compat.is_pyqt5 has been removed due to the release of PyQt6. The Qt version can be checked using QtCore.qVersion().</t>
    <phoneticPr fontId="1" type="noConversion"/>
  </si>
  <si>
    <t>testing.compare.make_external_conversion_command has been removed.</t>
    <phoneticPr fontId="1" type="noConversion"/>
  </si>
  <si>
    <t>axes_grid1.axes_rgb.imshow_rgb has been removed; use imshow(np.dstack([r, g, b])) instead.</t>
    <phoneticPr fontId="1" type="noConversion"/>
  </si>
  <si>
    <t>The animation.avconv_path and animation.avconv_args rcParams have been removed.</t>
    <phoneticPr fontId="1" type="noConversion"/>
  </si>
  <si>
    <t>The animation.html_args rcParam has been removed.</t>
    <phoneticPr fontId="1" type="noConversion"/>
  </si>
  <si>
    <t>The keymap.all_axes rcParam has been removed.</t>
    <phoneticPr fontId="1" type="noConversion"/>
  </si>
  <si>
    <t>The mathtext.fallback_to_cm rcParam has been removed. Use rcParams["mathtext.fallback"] (default: 'cm') instead.</t>
    <phoneticPr fontId="1" type="noConversion"/>
  </si>
  <si>
    <t>The savefig.jpeg_quality rcParam has been removed.</t>
    <phoneticPr fontId="1" type="noConversion"/>
  </si>
  <si>
    <t>The text.latex.preview rcParam has been removed.</t>
    <phoneticPr fontId="1" type="noConversion"/>
  </si>
  <si>
    <t>The following deprecated rcParams validators, defined in rcsetup, have been removed:
validate_alignment
validate_axes_titlelocation
validate_axis_locator
validate_bool_maybe_none
validate_fontset
validate_grid_axis
validate_hinting
validate_legend_loc
validate_mathtext_default
validate_movie_frame_fmt
validate_movie_html_fmt
validate_movie_writer
validate_nseq_float
validate_nseq_int
validate_orientation
validate_pgf_texsystem
validate_ps_papersize
validate_svg_fonttype
validate_toolbar
validate_webagg_address</t>
    <phoneticPr fontId="1" type="noConversion"/>
  </si>
  <si>
    <t>FigureFrameWx constructor, subclasses, and get_canvas
The FigureCanvasWx constructor gained a canvas_class keyword-only parameter which specifies the canvas class that should be used. This parameter will become required in the future. The get_canvas method, which was previously used to customize canvas creation, is deprecated. The FigureFrameWxAgg and FigureFrameWxCairo subclasses, which overrode get_canvas, are deprecated.</t>
    <phoneticPr fontId="1" type="noConversion"/>
  </si>
  <si>
    <t>Behaviour changes</t>
    <phoneticPr fontId="1" type="noConversion"/>
  </si>
  <si>
    <t>The module matplotlib.cbook.deprecation was previously deprecated in Matplotlib 3.4, along with deprecation-related API in matplotlib.cbook. Due to technical issues, matplotlib.cbook.MatplotlibDeprecationWarning and matplotlib.cbook.mplDeprecation did not raise deprecation warnings on use. Changes in Python have now made it possible to warn when these aliases are being used.
In order to avoid downstream breakage, these aliases will now warn, and their removal has been pushed from 3.6 to 3.8 to give time to notice said warnings. As replacement, please use matplotlib.MatplotlibDeprecationWarning.</t>
    <phoneticPr fontId="1" type="noConversion"/>
  </si>
  <si>
    <t>In Matplotlib 3.5 we added a ColormapRegistry class and exposed an instance at the top level as matplotlib.colormaps. The existing top level functions in matplotlib.cm (get_cmap, register_cmap, unregister_cmap) were changed to be aliases around the same instance.
In Matplotlib 3.6 we have marked those top level functions as pending deprecation with the intention of deprecation in Matplotlib 3.7. The following functions have been marked for pending deprecation:
matplotlib.cm.get_cmap; use matplotlib.colormaps[name] instead if you have a str.
Added 3.6.1 Use matplotlib.cm.ColormapRegistry.get_cmap if you have a string, None or a matplotlib.colors.Colormap object that you want to convert to a matplotlib.colors.Colormap instance.
matplotlib.cm.register_cmap; use matplotlib.colormaps.register instead
matplotlib.cm.unregister_cmap; use matplotlib.colormaps.unregister instead
matplotlib.pyplot.register_cmap; use matplotlib.colormaps.register instead
The matplotlib.pyplot.get_cmap function will stay available for backward compatibility</t>
    <phoneticPr fontId="1" type="noConversion"/>
  </si>
  <si>
    <t>The methods set_tight_layout, set_constrained_layout, are discouraged, and now emit a PendingDeprecationWarning in favor of explicitly referencing the layout engine via figure.set_layout_engine('tight') and figure.set_layout_engine('constrained'). End users should not see the warning, but library authors should adjust.</t>
    <phoneticPr fontId="1" type="noConversion"/>
  </si>
  <si>
    <t>The methods set_constrained_layout_pads and get_constrained_layout_pads are will be deprecated in favor of figure.get_layout_engine().set() and figure.get_layout_engine().get(), and currently emit a PendingDeprecationWarning.</t>
    <phoneticPr fontId="1" type="noConversion"/>
  </si>
  <si>
    <t xml:space="preserve">Auto-removal of overlapping Axes by plt.subplot and plt.subplot2grid
Previously, pyplot.subplot and pyplot.subplot2grid would automatically remove preexisting Axes that overlap with the newly added Axes. This behavior was deemed confusing, and is now deprecated. Explicitly call ax.remove() on Axes that need to be removed.
</t>
    <phoneticPr fontId="1" type="noConversion"/>
  </si>
  <si>
    <t xml:space="preserve">stem(..., use_line_collection=False)
... is deprecated with no replacement. This was a compatibility fallback to a former more inefficient representation of the stem lines.
</t>
    <phoneticPr fontId="1" type="noConversion"/>
  </si>
  <si>
    <t>The transOffset parameter of Collection.set_offset_transform and the various create_collection methods of legend handlers has been renamed to offset_transform (consistently with the property name).</t>
    <phoneticPr fontId="1" type="noConversion"/>
  </si>
  <si>
    <t>n LogFormatter and derived subclasses, the methods base and label_minor for setting the respective parameter are deprecated and replaced by set_base and set_label_minor, respectively.</t>
    <phoneticPr fontId="1" type="noConversion"/>
  </si>
  <si>
    <t>In LogLocator, the methods base and subs for setting the respective parameter are deprecated. Instead, use set_params(base=..., subs=...).</t>
    <phoneticPr fontId="1" type="noConversion"/>
  </si>
  <si>
    <t>Unused methods in Axis, Tick, XAxis, and YAxis
Tick.label has been pending deprecation since 3.1 and is now deprecated. Use Tick.label1 instead.
The following methods are no longer used and deprecated without a replacement:
Axis.get_ticklabel_extents
Tick.get_pad_pixels
XAxis.get_text_heights
YAxis.get_text_widths</t>
    <phoneticPr fontId="1" type="noConversion"/>
  </si>
  <si>
    <t>mlab.stride_windows
... is deprecated. Use np.lib.stride_tricks.sliding_window_view instead (or np.lib.stride_tricks.as_strided on NumPy &lt; 1.20).</t>
  </si>
  <si>
    <t>Event handlers
The draw_event, resize_event, close_event, key_press_event, key_release_event, pick_event, scroll_event, button_press_event, button_release_event, motion_notify_event, enter_notify_event and leave_notify_event methods of FigureCanvasBase are deprecated. They had inconsistent signatures across backends, and made it difficult to improve event metadata.
In order to trigger an event on a canvas, directly construct an Event object of the correct class and call canvas.callbacks.process(event.name, event).</t>
    <phoneticPr fontId="1" type="noConversion"/>
  </si>
  <si>
    <t>The canvas and background attributes of MultiCursor are deprecated with no replacement.</t>
    <phoneticPr fontId="1" type="noConversion"/>
  </si>
  <si>
    <t>The visible attribute of Selector widgets has been deprecated; use set_visibleor get_visible instead.</t>
    <phoneticPr fontId="1" type="noConversion"/>
  </si>
  <si>
    <t>3D Axis
The previous constructor of axis3d.Axis, with signature (self, adir, v_intervalx, d_intervalx, axes, *args, rotate_label=None, **kwargs) is deprecated in favor of a new signature closer to the one of 2D Axis; it is now (self, axes, *, rotate_label=None, **kwargs) where kwargs are forwarded to the 2D Axis constructor. The axis direction is now inferred from the axis class' axis_name attribute (as in the 2D case); the adir attribute is deprecated.
The init3d method of 3D Axis is also deprecated; all the relevant initialization is done as part of the constructor.
The d_interval and v_interval attributes of 3D Axis are deprecated; use get_data_interval and get_view_interval instead.
The w_xaxis, w_yaxis, and w_zaxis attributes of Axis3D have been pending deprecation since 3.1. They are now deprecated. Instead use xaxis, yaxis, and zaxis.
mplot3d.axis3d.Axis.set_pane_pos is deprecated. This is an internal method where the provided values are overwritten during drawing. Hence, it does not serve any purpose to be directly accessible.
The two helper functions mplot3d.axis3d.move_from_center and mplot3d.axis3d.tick_update_position are considered internal and deprecated. If these are required, please vendor the code from the corresponding private methods _move_from_center and _tick_update_position.</t>
    <phoneticPr fontId="1" type="noConversion"/>
  </si>
  <si>
    <t>Figure.callbacks is deprecated
The Figure callbacks property is deprecated. The only signal was "dpi_changed", which can be replaced by connecting to the "resize_event" on the canvas figure.canvas.mpl_connect("resize_event", func) instead.</t>
    <phoneticPr fontId="1" type="noConversion"/>
  </si>
  <si>
    <t xml:space="preserve">Backend-specific deprecations
• backend_gtk3.FigureManagerGTK3Agg and backend_gtk4.FigureManagerGTK4Agg; directly use backend_gtk3.FigureManagerGTK3 and backend_gtk4.FigureManagerGTK4instead.
• The window parameter to backend_gtk3.NavigationToolbar2GTK3 had no effect, and is now deprecated.
• backend_gtk3.NavigationToolbar2GTK3.win
• backend_gtk3.RendererGTK3Cairo and backend_gtk4.RendererGTK4Cairo; use RendererCairo instead, which has gained the set_context method, which also auto-infers the size of the underlying surface.
• backend_cairo.RendererCairo.set_ctx_from_surface and backend_cairo.RendererCairo.set_width_height in favor of RendererCairo.set_context.
• backend_gtk3.error_msg_gtk
• backend_gtk3.icon_filename and backend_gtk3.window_icon
• backend_macosx.NavigationToolbar2Mac.prepare_configure_subplotshas been replaced by configure_subplots().
• backend_pdf.Name.hexify
• backend_pdf.Operator and backend_pdf.Op.op are deprecated in favor of a single standard enum.Enum interface on backend_pdf.Op.
• backend_pdf.fill; vendor the code of the similarly named private functions if you rely on these functions.
• backend_pgf.LatexManager.texcommand and backend_pgf.LatexManager.latex_header
• backend_pgf.NO_ESCAPE
• backend_pgf.common_texification
• backend_pgf.get_fontspec
• backend_pgf.get_preamble
• backend_pgf.re_mathsep
• backend_pgf.writeln
• backend_ps.convert_psfrags
• backend_ps.quote_ps_string; vendor the code of the similarly named private functions if you rely on it.
• backend_qt.qApp; use QtWidgets.QApplication.instance() instead.
• backend_svg.escape_attrib; vendor the code of the similarly named private functions if you rely on it.
• backend_svg.escape_cdata; vendor the code of the similarly named private functions if you rely on it.
• backend_svg.escape_comment; vendor the code of the similarly named private functions if you rely on it.
• backend_svg.short_float_fmt; vendor the code of the similarly named private functions if you rely on it.
• backend_svg.generate_transform and backend_svg.generate_css
• backend_tk.NavigationToolbar2Tk.lastrect and backend_tk.RubberbandTk.lastrect
• backend_tk.NavigationToolbar2Tk.window; use toolbar.master instead.
• backend_tools.ToolBase.destroy; To run code upon tool removal, connect to the tool_removed_event event.
• backend_wx.RendererWx.offset_text_height
• backend_wx.error_msg_wx
• FigureCanvasBase.pick; directly call Figure.pick, which has taken over the responsibility of checking the canvas widget lock as well.
• FigureCanvasBase.resize, which has no effect; use FigureManagerBase.resize instead.
• FigureManagerMac.close
• FigureFrameWx.sizer; use frame.GetSizer() instead.
• FigureFrameWx.figmgr and FigureFrameWx.get_figure_manager; use frame.canvas.manager instead.
• FigureFrameWx.num; use frame.canvas.manager.num instead.
• FigureFrameWx.toolbar; use frame.GetToolBar() instead.
• FigureFrameWx.toolmanager; use frame.canvas.manager.toolmanagerinstead.
</t>
    <phoneticPr fontId="1" type="noConversion"/>
  </si>
  <si>
    <t>The modules matplotlib.afm, matplotlib.docstring, matplotlib.fontconfig_pattern, matplotlib.tight_bbox, matplotlib.tight_layout, and matplotlib.type1font are considered internal and public access is deprecated.</t>
    <phoneticPr fontId="1" type="noConversion"/>
  </si>
  <si>
    <t>checkdep_usetex deprecated
This method was only intended to disable tests in case no latex install was found. As such, it is considered to be private and for internal use only.</t>
    <phoneticPr fontId="1" type="noConversion"/>
  </si>
  <si>
    <t>date_ticker_factory deprecated
The date_ticker_factory method in the matplotlib.dates module is deprecated. Instead use AutoDateLocator and AutoDateFormatter for a more flexible and scalable locator and formatter.</t>
    <phoneticPr fontId="1" type="noConversion"/>
  </si>
  <si>
    <t>transforms.Affine2D.identity()
... is deprecated in favor of directly calling the Affine2D constructor with no arguments.</t>
    <phoneticPr fontId="1" type="noConversion"/>
  </si>
  <si>
    <t>Deprecations in testing.decorators
The unused class CleanupTestCase and decorator cleanup are deprecated and will be removed. Vendor the code, including the private function _cleanup_cm.
The function check_freetype_version is considered internal and deprecated. Vendor the code of the private function _check_freetype_version.</t>
    <phoneticPr fontId="1" type="noConversion"/>
  </si>
  <si>
    <t>text.get_rotation()
... is deprecated with no replacement. Copy the original implementation if needed.</t>
    <phoneticPr fontId="1" type="noConversion"/>
  </si>
  <si>
    <t>Miscellaneous internals
axes_grid1.axes_size.AddList; use sum(sizes, start=Fixed(0)) (for example) to sum multiple size objects.
axes_size.Padded; use size + pad instead
axes_size.SizeFromFunc, axes_size.GetExtentHelper
AxisArtistHelper.delta1 and AxisArtistHelper.delta2
axislines.GridHelperBase.new_gridlines and axislines.Axes.new_gridlines
cbook.maxdict; use the standard library functools.lru_cache instead.
_DummyAxis.dataLim and _DummyAxis.viewLim; use get_data_interval(), set_data_interval(), get_view_interval(), and set_view_interval() instead.
GridSpecBase.get_grid_positions(..., raw=True)
ImageMagickBase.delay and ImageMagickBase.output_args
MathtextBackend, MathtextBackendAgg, MathtextBackendPath, MathTextWarning
TexManager.get_font_config; it previously returned an internal hashed key for used for caching purposes.
TextToPath.get_texmanager; directly construct a texmanager.TexManager instead.
ticker.is_close_to_int; use math.isclose(x, round(x)) instead.
ticker.is_decade; use y = numpy.log(x)/numpy.log(base); numpy.isclose(y, numpy.round(y)) instead.</t>
    <phoneticPr fontId="1" type="noConversion"/>
  </si>
  <si>
    <t>MarkerStyle is immutable
The methods MarkerStyle.set_fillstyle and MarkerStyle.set_marker have been removed. Create a new MarkerStyle with the respective parameters instead</t>
    <phoneticPr fontId="1" type="noConversion"/>
  </si>
  <si>
    <t>backend_tools.ToolFullScreen now inherits from ToolBase, not from ToolToggleBase
ToolFullScreen can only switch between the non-fullscreen and fullscreen states, but not unconditionally put the window in a given state; hence the enable and disable methods were misleadingly named. Thus, the ToolToggleBase-related API (enable, disable, etc.) was removed.</t>
    <phoneticPr fontId="1" type="noConversion"/>
  </si>
  <si>
    <t>BoxStyle._Base and transmute method of box styles
... have been removed. Box styles implemented as classes no longer need to inherit from a base class.</t>
    <phoneticPr fontId="1" type="noConversion"/>
  </si>
  <si>
    <t>The cbook.deprecation module has been removed from the public API as it is considered internal.</t>
    <phoneticPr fontId="1" type="noConversion"/>
  </si>
  <si>
    <t>The mpl_toolkits.axes_grid module has been removed. All functionality from mpl_toolkits.axes_grid can be found in either mpl_toolkits.axes_grid1 or mpl_toolkits.axisartist. Axes classes from mpl_toolkits.axes_grid based on Axis from mpl_toolkits.axisartist can be found in mpl_toolkits.axisartist.</t>
    <phoneticPr fontId="1" type="noConversion"/>
  </si>
  <si>
    <t>The following module-level classes/variables have been removed:
cm.cmap_d
colorbar.colorbar_doc, colorbar.colorbar_kw_doc
ColorbarPatch
mathtext.Fonts and all its subclasses
mathtext.FontConstantsBase and all its subclasses
mathtext.latex_to_bakoma, mathtext.latex_to_cmex, mathtext.latex_to_standard
mathtext.MathtextBackendPdf, mathtext.MathtextBackendPs, mathtext.MathtextBackendSvg, mathtext.MathtextBackendCairo; use .MathtextBackendPath instead.
mathtext.Node and all its subclasses
mathtext.NUM_SIZE_LEVELS
mathtext.Parser
mathtext.Ship
mathtext.SHRINK_FACTOR and mathtext.GROW_FACTOR
mathtext.stix_virtual_fonts,
mathtext.tex2uni
backend_pgf.TmpDirCleaner
backend_ps.GraphicsContextPS; use GraphicsContextBase instead.
backend_wx.IDLE_DELAY
axes_grid1.parasite_axes.ParasiteAxesAuxTransBase; use ParasiteAxesBase instead.
axes_grid1.parasite_axes.ParasiteAxesAuxTrans; use ParasiteAxes instead.</t>
    <phoneticPr fontId="1" type="noConversion"/>
  </si>
  <si>
    <t>The following class attributes have been removed:
Line2D.validCap and Line2D.validJoin; validation is centralized in rcsetup.
Patch.validCap and Patch.validJoin; validation is centralized in rcsetup.
renderer.M, renderer.eye, renderer.vvec, renderer.get_axis_position placed on the Renderer during 3D Axes draw; these attributes are all available via Axes3D, which can be accessed via self.axes on all Artists.
RendererPdf.mathtext_parser, RendererPS.mathtext_parser, RendererSVG.mathtext_parser, RendererCairo.mathtext_parser
StandardPsFonts.pswriter
Subplot.figbox; use Axes.get_position instead.
Subplot.numRows; ax.get_gridspec().nrows instead.
Subplot.numCols; ax.get_gridspec().ncols instead.
SubplotDivider.figbox
cids, cnt, observers, change_observers, and submit_observers on all Widgets</t>
    <phoneticPr fontId="1" type="noConversion"/>
  </si>
  <si>
    <t>The following functions have been removed;
backend_template.new_figure_manager(), backend_template.new_figure_manager_given_figure(), and backend_template.draw_if_interactive() have been removed, as part of the introduction of the simplified backend API.
Deprecation-related re-imports cbook.deprecated(), and cbook.warn_deprecated().
colorbar.colorbar_factory(); use Colorbar instead. colorbar.make_axes_kw_doc()
mathtext.Error()
mathtext.ship()
mathtext.tex2uni()
axes_grid1.parasite_axes.parasite_axes_auxtrans_class_factory(); use parasite_axes_class_factory instead.
sphinext.plot_directive.align(); use docutils.parsers.rst.directives.images.Image.align instead.</t>
    <phoneticPr fontId="1" type="noConversion"/>
  </si>
  <si>
    <t>Remmovals</t>
    <phoneticPr fontId="1" type="noConversion"/>
  </si>
  <si>
    <t>4.3.0</t>
    <phoneticPr fontId="1" type="noConversion"/>
  </si>
  <si>
    <t xml:space="preserve">Rename 'update_supported_erros' to 'update_supported_errors' in Retry module </t>
    <phoneticPr fontId="1" type="noConversion"/>
  </si>
  <si>
    <t>Bug Fixes</t>
    <phoneticPr fontId="1" type="noConversion"/>
  </si>
  <si>
    <t>4.3.6</t>
    <phoneticPr fontId="1" type="noConversion"/>
  </si>
  <si>
    <t>4.4.2</t>
    <phoneticPr fontId="1" type="noConversion"/>
  </si>
  <si>
    <t>4.5.5</t>
    <phoneticPr fontId="1" type="noConversion"/>
  </si>
  <si>
    <t>5.0.6</t>
    <phoneticPr fontId="1" type="noConversion"/>
  </si>
  <si>
    <t>Installation</t>
    <phoneticPr fontId="1" type="noConversion"/>
  </si>
  <si>
    <t>tornado.gen
Multi and multi_future are deprecated and replaced by a unified function multi.</t>
    <phoneticPr fontId="1" type="noConversion"/>
  </si>
  <si>
    <t>tornado.gen
yield None is now equivalent to yield gen.moment. moment is deprecated. This improves compatibility with asyncio.</t>
    <phoneticPr fontId="1" type="noConversion"/>
  </si>
  <si>
    <t>General changes</t>
    <phoneticPr fontId="1" type="noConversion"/>
  </si>
  <si>
    <t>4.5.1</t>
    <phoneticPr fontId="1" type="noConversion"/>
  </si>
  <si>
    <t>6.3.2</t>
    <phoneticPr fontId="1" type="noConversion"/>
  </si>
  <si>
    <t>Isomorphisms
Node and edge attributes are now more easily incorporated into isomorphism checks via the ‘node_match’ and ‘edge_match’ parameters. As part of this change, the following classes were removed:
WeightedGraphMatcher
WeightedDiGraphMatcher
WeightedMultiGraphMatcher
WeightedMultiDiGraphMatcher</t>
    <phoneticPr fontId="1" type="noConversion"/>
  </si>
  <si>
    <t>2.8.2</t>
    <phoneticPr fontId="1" type="noConversion"/>
  </si>
  <si>
    <t>2.8.5</t>
    <phoneticPr fontId="1" type="noConversion"/>
  </si>
  <si>
    <t>2.8.6</t>
    <phoneticPr fontId="1" type="noConversion"/>
  </si>
  <si>
    <t>make lazy_import private and remove its internal use</t>
    <phoneticPr fontId="1" type="noConversion"/>
  </si>
  <si>
    <t>0.6.0</t>
    <phoneticPr fontId="1" type="noConversion"/>
  </si>
  <si>
    <t>9.12.2</t>
    <phoneticPr fontId="1" type="noConversion"/>
  </si>
  <si>
    <t>12.2.0</t>
    <phoneticPr fontId="1" type="noConversion"/>
  </si>
  <si>
    <t>12.4.4</t>
    <phoneticPr fontId="1" type="noConversion"/>
  </si>
  <si>
    <t>13.4.2</t>
    <phoneticPr fontId="1" type="noConversion"/>
  </si>
  <si>
    <t>1.13.1</t>
    <phoneticPr fontId="1" type="noConversion"/>
  </si>
  <si>
    <t>TensorFlow Lite has moved from contrib to core. This means that Python modules are under tf.lite and source code is now under tensorflow/lite rather than tensorflow/contrib/lite.</t>
    <phoneticPr fontId="1" type="noConversion"/>
  </si>
  <si>
    <t>Major Features and Improvements</t>
    <phoneticPr fontId="1" type="noConversion"/>
  </si>
  <si>
    <t>Removing deprecations for the following endpoints: tf.acos, tf.acosh, tf.add, tf.as_string, tf.asin, tf.asinh, tf.atan, tf.atan2, tf.atanh, tf.cos, tf.cosh, tf.equal, tf.exp, tf.floor, tf.greater, tf.greater_equal, tf.less, tf.less_equal, tf.log, tf.logp1, tf.logical_and, tf.logical_not, tf.logical_or, tf.maximum, tf.minimum, tf.not_equal, tf.sin, tf.sinh, tf.tan</t>
    <phoneticPr fontId="1" type="noConversion"/>
  </si>
  <si>
    <t>Deprecate tf.data.Dataset.shard.</t>
    <phoneticPr fontId="1" type="noConversion"/>
  </si>
  <si>
    <t>Deprecate saved_model.loader.load which is replaced by saved_model.load and saved_model.main_op, which will be replaced by saved_model.main_op in V2.</t>
    <phoneticPr fontId="1" type="noConversion"/>
  </si>
  <si>
    <t>Deprecate tf.QUANTIZED_DTYPES. The official new symbol is tf.dtypes.QUANTIZED_DTYPES.</t>
    <phoneticPr fontId="1" type="noConversion"/>
  </si>
  <si>
    <t>Deprecate Variable.count_up_to and tf.count_up_to in favor of Dataset.range.</t>
    <phoneticPr fontId="1" type="noConversion"/>
  </si>
  <si>
    <t>Export confusion_matrix op as tf.math.confusion_matrix instead of tf.train.confusion_matrix.</t>
    <phoneticPr fontId="1" type="noConversion"/>
  </si>
  <si>
    <t>Add tf.dtypes. endpoint for every constant in dtypes.py; moving endpoints in versions.py to corresponding endpoints in tf.sysconfig. and tf.version.; moving all constants under tf.saved_model submodules to tf.saved_model module. New endpoints are added in V1 and V2 but existing endpoint removals are only applied in V2.</t>
    <phoneticPr fontId="1" type="noConversion"/>
  </si>
  <si>
    <t>Bug Fixes and Other Changes/Deprecations and Symbol renames.</t>
    <phoneticPr fontId="1" type="noConversion"/>
  </si>
  <si>
    <t>TensorFlow Lite
Move from tensorflow/contrib/lite to tensorflow/lite.</t>
    <phoneticPr fontId="1" type="noConversion"/>
  </si>
  <si>
    <t>tf.contrib
Move tf.contrib.signal to tf.signal (preserving aliases in tf.contrib.signal).</t>
    <phoneticPr fontId="1" type="noConversion"/>
  </si>
  <si>
    <t>tf.data: 
Deprecate tf.data.Dataset.make_initializable_iterator() in V1, removed it from V2, and added tf.compat.v1.data.make_initializable_iterator().</t>
    <phoneticPr fontId="1" type="noConversion"/>
  </si>
  <si>
    <t>Toolchains
Removed :android_tensorflow_lib_selective_registration* targets, use :android_tensorflow_lib_lite* targets instead</t>
    <phoneticPr fontId="1" type="noConversion"/>
  </si>
  <si>
    <t>Bug Fixes and Other Changes/Toolchains</t>
    <phoneticPr fontId="1" type="noConversion"/>
  </si>
  <si>
    <t>Bug Fixes and Other Changes/tf.contrib</t>
    <phoneticPr fontId="1" type="noConversion"/>
  </si>
  <si>
    <t>Bug Fixes and Other Changes/TensorFlow Lite</t>
    <phoneticPr fontId="1" type="noConversion"/>
  </si>
  <si>
    <t>2.0.3</t>
    <phoneticPr fontId="1" type="noConversion"/>
  </si>
  <si>
    <t>2.1.0</t>
    <phoneticPr fontId="1" type="noConversion"/>
  </si>
  <si>
    <t>Deletes Operation.traceback_with_start_lines for which we know of no usages.</t>
    <phoneticPr fontId="1" type="noConversion"/>
  </si>
  <si>
    <t>tf.config.experimentalVirtualDeviceConfiguration has been renamed to tf.config.LogicalDeviceConfiguration.</t>
    <phoneticPr fontId="1" type="noConversion"/>
  </si>
  <si>
    <t>tf.config.experimental_list_devices has been removed, please use
tf.config.list_logical_devices.</t>
    <phoneticPr fontId="1" type="noConversion"/>
  </si>
  <si>
    <t>Breaking Changes</t>
  </si>
  <si>
    <t>Breaking Changes</t>
    <phoneticPr fontId="1" type="noConversion"/>
  </si>
  <si>
    <t>Bug Fixes and Other Changes</t>
    <phoneticPr fontId="1" type="noConversion"/>
  </si>
  <si>
    <t>tf.keras
Model.fit_generator, Model.evaluate_generator, Model.predict_generator, Model.train_on_batch, Model.test_on_batch, and Model.predict_on_batch methods now respect the run_eagerly property, and will correctly run using tf.function by default. Note that Model.fit_generator, Model.evaluate_generator, and Model.predict_generator are deprecated endpoints. They are subsumed by Model.fit, Model.evaluate, and Model.predict which now support generators and Sequences</t>
    <phoneticPr fontId="1" type="noConversion"/>
  </si>
  <si>
    <t>2.8.0</t>
    <phoneticPr fontId="1" type="noConversion"/>
  </si>
  <si>
    <t>Add tf.config.experimental.enable_op_determinism, which makes TensorFlow ops run deterministically at the cost of performance. Replaces the TF_DETERMINISTIC_OPS environmental variable, which is now deprecated. The "Bug Fixes and Other Changes" section lists more determinism-related changes.</t>
    <phoneticPr fontId="1" type="noConversion"/>
  </si>
  <si>
    <t>tf.keras:
Removed keras.layers.experimental.preprocessing.CategoryCrossing. Users should migrate to the HashedCrossing layer or use tf.sparse.cross/tf.ragged.cross directly.</t>
    <phoneticPr fontId="1" type="noConversion"/>
  </si>
  <si>
    <t>tf.keras:
tf.keras.callbacks.experimental.BackupAndRestore is now available as tf.keras.callbacks.BackupAndRestore. The experimental endpoint is deprecated and will be removed in a future release.</t>
    <phoneticPr fontId="1" type="noConversion"/>
  </si>
  <si>
    <t>tf.keras:
tf.keras.experimental.SidecarEvaluator is now available as tf.keras.utils.SidecarEvaluator. The experimental endpoint is deprecated and will be removed in a future release.</t>
    <phoneticPr fontId="1" type="noConversion"/>
  </si>
  <si>
    <t>2.15.0</t>
    <phoneticPr fontId="1" type="noConversion"/>
  </si>
  <si>
    <t>tf.types.experimental.GenericFunction has been renamed to tf.types.experimental.PolymorphicFunction.</t>
    <phoneticPr fontId="1" type="noConversion"/>
  </si>
  <si>
    <t>tf.data:
Moved option warm_start from tf.data.experimental.OptimizationOptions to tf.data.Options.</t>
    <phoneticPr fontId="1" type="noConversion"/>
  </si>
  <si>
    <t>tf.estimator
The tf.estimator API removal is in progress and will be targeted for the 2.16 release</t>
    <phoneticPr fontId="1" type="noConversion"/>
  </si>
  <si>
    <t>0.42.0</t>
    <phoneticPr fontId="1" type="noConversion"/>
  </si>
  <si>
    <t>0.55.0</t>
    <phoneticPr fontId="1" type="noConversion"/>
  </si>
  <si>
    <t>0.89.1</t>
    <phoneticPr fontId="1" type="noConversion"/>
  </si>
  <si>
    <t>0.92.0</t>
    <phoneticPr fontId="1" type="noConversion"/>
  </si>
  <si>
    <t>0.100.1</t>
    <phoneticPr fontId="1" type="noConversion"/>
  </si>
  <si>
    <t>0.9.1</t>
    <phoneticPr fontId="1" type="noConversion"/>
  </si>
  <si>
    <t>0.14.0</t>
    <phoneticPr fontId="1" type="noConversion"/>
  </si>
  <si>
    <t>You should now use httpx.codes consistently instead of httpx.StatusCodes.</t>
    <phoneticPr fontId="1" type="noConversion"/>
  </si>
  <si>
    <t>Use httpx.Limits() instead of httpx.PoolLimits(), and limits=... instead of pool_limits=....</t>
    <phoneticPr fontId="1" type="noConversion"/>
  </si>
  <si>
    <t>The multidict methods Headers.getlist() and QueryParams.getlist() are deprecated in favour of more consistent .get_list() variants.</t>
    <phoneticPr fontId="1" type="noConversion"/>
  </si>
  <si>
    <t>The URL.is_ssl property is deprecated in favour of URL.scheme == "https".</t>
    <phoneticPr fontId="1" type="noConversion"/>
  </si>
  <si>
    <t>The following previously had nominally public names on the client, but were all undocumented and intended solely for internal usage. They are all now replaced with underscored names, and should not be relied on or accessed.
These changes should not affect users who have been working from the httpx documentation.
.merge_url(), .merge_headers(), .merge_cookies(), .merge_queryparams()
.build_auth(), .build_redirect_request()
.redirect_method(), .redirect_url(), .redirect_headers(), .redirect_stream()
.send_handling_redirects(), .send_handling_auth(), .send_single_request()
.init_transport(), .init_proxy_transport()
.proxies, .transport, .netrc, .get_proxy_map()</t>
    <phoneticPr fontId="1" type="noConversion"/>
  </si>
  <si>
    <t>Drop ASGIDispatch, WSGIDispatch, which have been replaced by ASGITransport, WSGITransport.</t>
    <phoneticPr fontId="1" type="noConversion"/>
  </si>
  <si>
    <t>Drop dispatch=...`` on client, which has been replaced by transport=...``</t>
    <phoneticPr fontId="1" type="noConversion"/>
  </si>
  <si>
    <t>Drop soft_limit, hard_limit, which have been replaced by max_keepalive and max_connections.</t>
    <phoneticPr fontId="1" type="noConversion"/>
  </si>
  <si>
    <t>Drop Response.stream and Response.raw, which have been replaced by ``.aiter_bytes and .aiter_raw.</t>
    <phoneticPr fontId="1" type="noConversion"/>
  </si>
  <si>
    <t>Drop proxies=&lt;transport instance&gt; in favor of proxies=httpx.Proxy(...).</t>
    <phoneticPr fontId="1" type="noConversion"/>
  </si>
  <si>
    <t>Use httpx.codes consistently in favour of httpx.StatusCodes which is placed into deprecation</t>
    <phoneticPr fontId="1" type="noConversion"/>
  </si>
  <si>
    <t>Changed</t>
    <phoneticPr fontId="1" type="noConversion"/>
  </si>
  <si>
    <t xml:space="preserve">The multidict methods Headers.getlist and QueryParams.getlist are deprecated in favour of more consistent .get_list()variants. </t>
    <phoneticPr fontId="1" type="noConversion"/>
  </si>
  <si>
    <t>Drop unnecessary url.full_path = ... property setter.</t>
    <phoneticPr fontId="1" type="noConversion"/>
  </si>
  <si>
    <t xml:space="preserve">The URL.is_ssl property is deprecated in favour of URL.scheme == "https". </t>
    <phoneticPr fontId="1" type="noConversion"/>
  </si>
  <si>
    <t>0.14.2</t>
    <phoneticPr fontId="1" type="noConversion"/>
  </si>
  <si>
    <t>0.15.3</t>
    <phoneticPr fontId="1" type="noConversion"/>
  </si>
  <si>
    <t>0.16.1</t>
    <phoneticPr fontId="1" type="noConversion"/>
  </si>
  <si>
    <t>2.4.0</t>
    <phoneticPr fontId="1" type="noConversion"/>
  </si>
  <si>
    <t>3.4.0</t>
    <phoneticPr fontId="1" type="noConversion"/>
  </si>
  <si>
    <t>Improvements made to the Trainer</t>
    <phoneticPr fontId="1" type="noConversion"/>
  </si>
  <si>
    <t>Adding Fast tokenizers for SentencePiece based tokenizers - Breaking: remove Transfo-XL fast tokenizer</t>
    <phoneticPr fontId="1" type="noConversion"/>
  </si>
  <si>
    <t>General improvements and bugfixes</t>
    <phoneticPr fontId="1" type="noConversion"/>
  </si>
  <si>
    <t xml:space="preserve">Remove duplicated mish activation function </t>
    <phoneticPr fontId="1" type="noConversion"/>
  </si>
  <si>
    <t>4.11.3</t>
    <phoneticPr fontId="1" type="noConversion"/>
  </si>
  <si>
    <t>4.39.3</t>
    <phoneticPr fontId="1" type="noConversion"/>
  </si>
  <si>
    <t>4.47.1</t>
    <phoneticPr fontId="1" type="noConversion"/>
  </si>
  <si>
    <t>1.7.1</t>
    <phoneticPr fontId="1" type="noConversion"/>
  </si>
  <si>
    <t>1.11.11</t>
    <phoneticPr fontId="1" type="noConversion"/>
  </si>
  <si>
    <t>4.0.5</t>
    <phoneticPr fontId="1" type="noConversion"/>
  </si>
  <si>
    <t>4.1.3</t>
    <phoneticPr fontId="1" type="noConversion"/>
  </si>
  <si>
    <t>Remove cupy.array_equal, since it's not compatible with cuPy 7.8</t>
    <phoneticPr fontId="1" type="noConversion"/>
  </si>
  <si>
    <t>1.3.1</t>
    <phoneticPr fontId="1" type="noConversion"/>
  </si>
  <si>
    <t>1.7.3</t>
    <phoneticPr fontId="1" type="noConversion"/>
  </si>
  <si>
    <t>1.7.5</t>
    <phoneticPr fontId="1" type="noConversion"/>
  </si>
  <si>
    <t>2.1.1</t>
    <phoneticPr fontId="1" type="noConversion"/>
  </si>
  <si>
    <t>2.1.2</t>
    <phoneticPr fontId="1" type="noConversion"/>
  </si>
  <si>
    <t>3.0.1</t>
    <phoneticPr fontId="1" type="noConversion"/>
  </si>
  <si>
    <t>3.0.2</t>
  </si>
  <si>
    <t>3.0.3</t>
  </si>
  <si>
    <t>0.4.0</t>
    <phoneticPr fontId="1" type="noConversion"/>
  </si>
  <si>
    <t>Tensors and Variables have merged</t>
    <phoneticPr fontId="1" type="noConversion"/>
  </si>
  <si>
    <t>Major Core changes</t>
    <phoneticPr fontId="1" type="noConversion"/>
  </si>
  <si>
    <t>Deprecation of the volatile flag</t>
    <phoneticPr fontId="1" type="noConversion"/>
  </si>
  <si>
    <t>Deprecate out-of-place Tensor.resize and Tensor.resize_as. These have weird semantics and are hard to use correctly. Please use their in-place variants Tensor.resize_ and Tensor.resize_as_.</t>
    <phoneticPr fontId="1" type="noConversion"/>
  </si>
  <si>
    <t>Tensor</t>
    <phoneticPr fontId="1" type="noConversion"/>
  </si>
  <si>
    <t>Renamed torch.nn.init.* methods to have an underscore in the end, as they operate in-place, and deprecate the old versions</t>
    <phoneticPr fontId="1" type="noConversion"/>
  </si>
  <si>
    <t>Neural Networks</t>
    <phoneticPr fontId="1" type="noConversion"/>
  </si>
  <si>
    <t>torch.gels: removed deprecated operator, use torch.lstsq instead.</t>
    <phoneticPr fontId="1" type="noConversion"/>
  </si>
  <si>
    <t>utils.data.DataLoader: made a number of Iterator attributes private</t>
    <phoneticPr fontId="1" type="noConversion"/>
  </si>
  <si>
    <t>1.3.0</t>
    <phoneticPr fontId="1" type="noConversion"/>
  </si>
  <si>
    <t>1.5.0</t>
    <phoneticPr fontId="1" type="noConversion"/>
  </si>
  <si>
    <t>Improvements</t>
    <phoneticPr fontId="1" type="noConversion"/>
  </si>
  <si>
    <t>Deprecations</t>
    <phoneticPr fontId="1" type="noConversion"/>
  </si>
  <si>
    <t>1.8.9</t>
    <phoneticPr fontId="1" type="noConversion"/>
  </si>
  <si>
    <t>3.5.0</t>
    <phoneticPr fontId="1" type="noConversion"/>
  </si>
  <si>
    <t>5.10.0</t>
    <phoneticPr fontId="1" type="noConversion"/>
  </si>
  <si>
    <t>5.24.0</t>
    <phoneticPr fontId="1" type="noConversion"/>
  </si>
  <si>
    <t>Deprecate mapbox traces and mapbox subplot</t>
    <phoneticPr fontId="1" type="noConversion"/>
  </si>
  <si>
    <t>Update</t>
    <phoneticPr fontId="1" type="noConversion"/>
  </si>
  <si>
    <t>0.7.4</t>
    <phoneticPr fontId="1" type="noConversion"/>
  </si>
  <si>
    <t>Removed deprecated Real class and is_Real property of Basic</t>
    <phoneticPr fontId="1" type="noConversion"/>
  </si>
  <si>
    <t>Backwards compatibility breaks and deprecations</t>
    <phoneticPr fontId="1" type="noConversion"/>
  </si>
  <si>
    <t>Removed deprecated 'each_char' option for symbols()</t>
    <phoneticPr fontId="1" type="noConversion"/>
  </si>
  <si>
    <t>The viewer="StringIO" option to preview() has been deprecated. Use viewer="BytesIO" instead.</t>
    <phoneticPr fontId="1" type="noConversion"/>
  </si>
  <si>
    <t>TransformationSet has been renamed to ImageSet. Added public facing imageset function.</t>
    <phoneticPr fontId="1" type="noConversion"/>
  </si>
  <si>
    <t>0.7.6</t>
    <phoneticPr fontId="1" type="noConversion"/>
  </si>
  <si>
    <t>The subset() method in sympy.core.sets is marked as being deprecated and will be removed in a future release (issue). Instead, the is_subset() method should be used.</t>
  </si>
  <si>
    <t>In physics.mechanics, KanesMethod.linearize has a new interface. Old code should be changed to use this instead. See docstring for information</t>
    <phoneticPr fontId="1" type="noConversion"/>
  </si>
  <si>
    <t>physics.gaussopt has been moved to physics.optics.gaussopt. You can still import it from the previous location but it may result in a deprecation warning.</t>
    <phoneticPr fontId="1" type="noConversion"/>
  </si>
  <si>
    <t>Removed is_finite assumption (see #7891). Use instead a combination of "is_bounded and is_nonzero" assumptions.</t>
    <phoneticPr fontId="1" type="noConversion"/>
  </si>
  <si>
    <t>is_bounded and is_unbounded assumptions were renamed to is_finite and is_infinite</t>
    <phoneticPr fontId="1" type="noConversion"/>
  </si>
  <si>
    <t xml:space="preserve">Removed is_infinitesimal assumption </t>
    <phoneticPr fontId="1" type="noConversion"/>
  </si>
  <si>
    <t>Removed is_real property for Sets, use set.is_subset(Reals) instead</t>
    <phoneticPr fontId="1" type="noConversion"/>
  </si>
  <si>
    <t>sympy.core.sets moved to sympy.sets</t>
    <phoneticPr fontId="1" type="noConversion"/>
  </si>
  <si>
    <t>minor changes</t>
    <phoneticPr fontId="1" type="noConversion"/>
  </si>
  <si>
    <t>Changes in sympy.sets:
is_subset(): The is_subset() method deprecates the subset() method. self.is_subset(other) checks if self is a subset of other. This is different from self.subset(other), which checked if other is a subset of self.</t>
    <phoneticPr fontId="1" type="noConversion"/>
  </si>
  <si>
    <t>1.0</t>
    <phoneticPr fontId="1" type="noConversion"/>
  </si>
  <si>
    <t>The galgebra Geometric Algebra module has been removed. The module is now maintained separately at https://github.com/brombo/galgebra.</t>
    <phoneticPr fontId="1" type="noConversion"/>
  </si>
  <si>
    <t>Major changes</t>
    <phoneticPr fontId="1" type="noConversion"/>
  </si>
  <si>
    <t>1.1</t>
  </si>
  <si>
    <t>In sympy.geometry, Line.equal() has been deprecated in favor of Line.equals().</t>
    <phoneticPr fontId="1" type="noConversion"/>
  </si>
  <si>
    <t>The release no longer includes the galgebra subumodule. This module is now maintained separately at https://github.com/brombo/galgebra.</t>
    <phoneticPr fontId="1" type="noConversion"/>
  </si>
  <si>
    <t>ClassRegistry is deprecated. It's unlikely that anybody ever used it; it is scheduled for removal for the next version of SymPy after 1.0.</t>
    <phoneticPr fontId="1" type="noConversion"/>
  </si>
  <si>
    <t>sympy.C is deprecated and scheduled for removal after 1.0, too. For those users who followed some erroneous SymPy documentation and used C as in C.log, just import sympy and use sympy.log instead: this is compatible with SymPy before and after we remove C.</t>
    <phoneticPr fontId="1" type="noConversion"/>
  </si>
  <si>
    <t>Q.bounded has been deprecated. Use Q.finite instead.</t>
    <phoneticPr fontId="1" type="noConversion"/>
  </si>
  <si>
    <t>Q.infinity has been deprecated. Use Q.infinite instead.</t>
    <phoneticPr fontId="1" type="noConversion"/>
  </si>
  <si>
    <t>Q.infinitesimal has been deprecated. Use Q.zero instead.</t>
    <phoneticPr fontId="1" type="noConversion"/>
  </si>
  <si>
    <t>1.10</t>
    <phoneticPr fontId="1" type="noConversion"/>
  </si>
  <si>
    <t>A number of classes and functions have been moved to better locations mostly to resolve problems with cyclic imports within the SymPy codebase. Most of these are deprecated and will emit a warning, although for some rare cases, there may have been moves without a deprecation. Code that imports these classes and functions from the precise module where they are defined either needs to be updated or should be changed to use a generic import. For example the ordered function is intended to be imported as from sympy import ordered. However it was also possible to import it as from sympy.utilities.iterables import ordered. Since it has now moved a fully qualified import would be from sympy.code.sorting import ordered although importing in this way is still discouraged. Importing from sympy.utilities.iterables now returns a stub function that will emit a deprecation warning when called. In a future release the stub function will likely be removed so that from sympy.utilities.iterables import ordered will give an ImportError. The intended import from sympy import ordered continues to work with all SymPy versions and will not give any warning or error.</t>
    <phoneticPr fontId="1" type="noConversion"/>
  </si>
  <si>
    <t>BREAKING: removed the since long deprecated densearith, densesolve, and densetools</t>
    <phoneticPr fontId="1" type="noConversion"/>
  </si>
  <si>
    <t>BREAKING CHANGE: core.trace with class Tr moved to physics.quantum.trace</t>
    <phoneticPr fontId="1" type="noConversion"/>
  </si>
  <si>
    <t>BREAKING CHANGE: core.trace with class Tr moved to physics.quantum.trace.</t>
    <phoneticPr fontId="1" type="noConversion"/>
  </si>
  <si>
    <t>changes</t>
    <phoneticPr fontId="1" type="noConversion"/>
  </si>
  <si>
    <t xml:space="preserve">matrices
BREAKING: removed the since long deprecated densearith, densesolve, and densetools </t>
    <phoneticPr fontId="1" type="noConversion"/>
  </si>
  <si>
    <t xml:space="preserve">polys
The sympy.polys.numberfields module was refactored into a package with a number of submodules. </t>
    <phoneticPr fontId="1" type="noConversion"/>
  </si>
  <si>
    <t>utilities
postorder_traversal is moved from utilities.iterables to core.traversal.</t>
    <phoneticPr fontId="1" type="noConversion"/>
  </si>
  <si>
    <t>utilities
interactive_traversal is moved from utilities.iterables to interactive.traversal.</t>
    <phoneticPr fontId="1" type="noConversion"/>
  </si>
  <si>
    <t>1.10.1</t>
    <phoneticPr fontId="1" type="noConversion"/>
  </si>
  <si>
    <t>0.20.0</t>
    <phoneticPr fontId="1" type="noConversion"/>
  </si>
  <si>
    <t>Remove dask.array.ghost module</t>
    <phoneticPr fontId="1" type="noConversion"/>
  </si>
  <si>
    <t>Array</t>
    <phoneticPr fontId="1" type="noConversion"/>
  </si>
  <si>
    <t xml:space="preserve">Remove Series.to_parquet </t>
    <phoneticPr fontId="1" type="noConversion"/>
  </si>
  <si>
    <t>Dataframe</t>
    <phoneticPr fontId="1" type="noConversion"/>
  </si>
  <si>
    <t>2.10.1</t>
    <phoneticPr fontId="1" type="noConversion"/>
  </si>
  <si>
    <t>2021.12.0</t>
    <phoneticPr fontId="1" type="noConversion"/>
  </si>
  <si>
    <t>2022.8.1</t>
    <phoneticPr fontId="1" type="noConversion"/>
  </si>
  <si>
    <t>2023.3.1</t>
    <phoneticPr fontId="1" type="noConversion"/>
  </si>
  <si>
    <t>0.14.18</t>
    <phoneticPr fontId="1" type="noConversion"/>
  </si>
  <si>
    <t>0.15.16</t>
    <phoneticPr fontId="1" type="noConversion"/>
  </si>
  <si>
    <t>Other improvements</t>
    <phoneticPr fontId="1" type="noConversion"/>
  </si>
  <si>
    <t>0.17.5</t>
    <phoneticPr fontId="1" type="noConversion"/>
  </si>
  <si>
    <t>0.20.14</t>
    <phoneticPr fontId="1" type="noConversion"/>
  </si>
  <si>
    <t>Rename utils module to _utils to explicitly mark it as private</t>
    <phoneticPr fontId="1" type="noConversion"/>
  </si>
  <si>
    <t>1.14.0</t>
    <phoneticPr fontId="1" type="noConversion"/>
  </si>
  <si>
    <t>Deprecate logger.start() and logger.stop() methods in favor of logger.add() and logger.remove()</t>
    <phoneticPr fontId="1" type="noConversion"/>
  </si>
  <si>
    <t>0.2.2</t>
    <phoneticPr fontId="1" type="noConversion"/>
  </si>
  <si>
    <t>0.2.3</t>
    <phoneticPr fontId="1" type="noConversion"/>
  </si>
  <si>
    <t>0.2.5</t>
    <phoneticPr fontId="1" type="noConversion"/>
  </si>
  <si>
    <t>0.3.2</t>
    <phoneticPr fontId="1" type="noConversion"/>
  </si>
  <si>
    <t>0.7.3</t>
    <phoneticPr fontId="1" type="noConversion"/>
  </si>
  <si>
    <t>2.2.0</t>
    <phoneticPr fontId="1" type="noConversion"/>
  </si>
  <si>
    <t>3.1.0</t>
    <phoneticPr fontId="1" type="noConversion"/>
  </si>
  <si>
    <t>python] rename print_evaluation() into log_evaluation()</t>
    <phoneticPr fontId="1" type="noConversion"/>
  </si>
  <si>
    <t>Breaking</t>
    <phoneticPr fontId="1" type="noConversion"/>
  </si>
  <si>
    <t>3.3.0</t>
    <phoneticPr fontId="1" type="noConversion"/>
  </si>
  <si>
    <t>3.3.3</t>
    <phoneticPr fontId="1" type="noConversion"/>
  </si>
  <si>
    <t>2.0.11</t>
    <phoneticPr fontId="1" type="noConversion"/>
  </si>
  <si>
    <t>2.2.4</t>
    <phoneticPr fontId="1" type="noConversion"/>
  </si>
  <si>
    <t>2.3.6</t>
    <phoneticPr fontId="1" type="noConversion"/>
  </si>
  <si>
    <t>3.1.6</t>
    <phoneticPr fontId="1" type="noConversion"/>
  </si>
  <si>
    <t>3.5.1</t>
    <phoneticPr fontId="1" type="noConversion"/>
  </si>
  <si>
    <t>0.5.0</t>
    <phoneticPr fontId="1" type="noConversion"/>
  </si>
  <si>
    <t>0.7.8</t>
    <phoneticPr fontId="1" type="noConversion"/>
  </si>
  <si>
    <t>0.8.3</t>
    <phoneticPr fontId="1" type="noConversion"/>
  </si>
  <si>
    <t>0.9.0</t>
    <phoneticPr fontId="1" type="noConversion"/>
  </si>
  <si>
    <t>Remove
gensim.models.FastText.load_fasttext_format: use load_facebook_vectors to load embeddings only (faster, less CPU/memory usage, does not support training continuation) and load_facebook_model to load full model (slower, more CPU/memory intensive, supports training continuation)
gensim.models.wrappers.fasttext (obsoleted by the new native gensim.models.fasttext implementation)
gensim.examples
gensim.nosy
gensim.scripts.word2vec_standalone
gensim.scripts.make_wiki_lemma
gensim.scripts.make_wiki_online
gensim.scripts.make_wiki_online_lemma
gensim.scripts.make_wiki_online_nodebug
gensim.scripts.make_wiki (all of these obsoleted by the new native gensim.scripts.segment_wiki implementation)
"deprecated" functions and attributes</t>
    <phoneticPr fontId="1" type="noConversion"/>
  </si>
  <si>
    <t>Move
gensim.scripts.make_wikicorpus ➡ gensim.scripts.make_wiki.py
gensim.summarization ➡ gensim.models.summarization
gensim.topic_coherence ➡ gensim.models._coherence
gensim.utils ➡ gensim.utils.utils (old imports will continue to work)
gensim.parsing.* ➡ gensim.utils.text_utils</t>
    <phoneticPr fontId="1" type="noConversion"/>
  </si>
  <si>
    <t>3.7.3</t>
    <phoneticPr fontId="1" type="noConversion"/>
  </si>
  <si>
    <t>Deprecations(will be removed in the next major release)</t>
    <phoneticPr fontId="1" type="noConversion"/>
  </si>
  <si>
    <t>0.2.20</t>
    <phoneticPr fontId="1" type="noConversion"/>
  </si>
  <si>
    <t>0.3.5</t>
    <phoneticPr fontId="1" type="noConversion"/>
  </si>
  <si>
    <t>the private lax_numpy submodule is no longer exposed in the jax.numpynamespace (#10029).</t>
    <phoneticPr fontId="1" type="noConversion"/>
  </si>
  <si>
    <t>Changes</t>
    <phoneticPr fontId="1" type="noConversion"/>
  </si>
  <si>
    <t>jax.experimental.sharded_jit has been deprecated and will be removed soon.</t>
    <phoneticPr fontId="1" type="noConversion"/>
  </si>
  <si>
    <t>jax.nn.normalize() is being deprecated. Use jax.nn.standardize() instead</t>
    <phoneticPr fontId="1" type="noConversion"/>
  </si>
  <si>
    <t>jax.tree_util.tree_multimap() is deprecated. Use jax.tree_util.tree_map() instead</t>
    <phoneticPr fontId="1" type="noConversion"/>
  </si>
  <si>
    <t>jax.experimental.sharded_jit is deprecated. Use pjit instead.</t>
    <phoneticPr fontId="1" type="noConversion"/>
  </si>
  <si>
    <t>0.4.11</t>
    <phoneticPr fontId="1" type="noConversion"/>
  </si>
  <si>
    <t>The following APIs have been removed after a 3 month deprecation period, in accordance with the API compatibility policy:
jax.experimental.PartitionSpec: use jax.sharding.PartitionSpec.
jax.experimental.maps.Mesh: use jax.sharding.Mesh
jax.experimental.pjit.NamedSharding: use jax.sharding.NamedSharding.
jax.experimental.pjit.PartitionSpec: use jax.sharding.PartitionSpec.
jax.experimental.pjit.FROM_GDA. Instead pass sharded jax.Array objects as input and remove the optional in_shardings argument to pjit.
jax.interpreters.pxla.PartitionSpec: use jax.sharding.PartitionSpec.
jax.interpreters.pxla.Mesh: use jax.sharding.Mesh
jax.interpreters.xla.Buffer: use jax.Array.
jax.interpreters.xla.Device: use jax.Device.
jax.interpreters.xla.DeviceArray: use jax.Array.
jax.interpreters.xla.device_put: use jax.device_put.
jax.interpreters.xla.xla_call_p: use jax.experimental.pjit.pjit_p.</t>
    <phoneticPr fontId="1" type="noConversion"/>
  </si>
  <si>
    <t>Removed the deprecated module jax.abstract_arrays and all its contents.</t>
    <phoneticPr fontId="1" type="noConversion"/>
  </si>
  <si>
    <t>Named key constructors in jax.random are deprecated. Pass the impl argument to jax.random.PRNGKey() or jax.random.key() instead:
random.threefry2x32_key(seed) becomes random.PRNGKey(seed, impl='threefry2x32')
random.rbg_key(seed) becomes random.PRNGKey(seed, impl='rbg')
random.unsafe_rbg_key(seed) becomes random.PRNGKey(seed, impl='unsafe_rbg')</t>
    <phoneticPr fontId="1" type="noConversion"/>
  </si>
  <si>
    <t>0.4.17</t>
    <phoneticPr fontId="1" type="noConversion"/>
  </si>
  <si>
    <t>0.4.18</t>
  </si>
  <si>
    <t>0.18.4</t>
    <phoneticPr fontId="1" type="noConversion"/>
  </si>
  <si>
    <t>3.4.4</t>
    <phoneticPr fontId="1" type="noConversion"/>
  </si>
  <si>
    <t>3.6.2</t>
    <phoneticPr fontId="1" type="noConversion"/>
  </si>
  <si>
    <t>3.9.3</t>
    <phoneticPr fontId="1" type="noConversion"/>
  </si>
  <si>
    <t>3.10.2</t>
    <phoneticPr fontId="1" type="noConversion"/>
  </si>
  <si>
    <t>Removed Request.wait_for_disconnection(), which was mistakenly added briefly in 3.10.0</t>
    <phoneticPr fontId="1" type="noConversion"/>
  </si>
  <si>
    <t>Removals and backward incompatible breaking changes</t>
    <phoneticPr fontId="1" type="noConversion"/>
  </si>
  <si>
    <t>0.4</t>
    <phoneticPr fontId="1" type="noConversion"/>
  </si>
  <si>
    <t>9.3.0</t>
    <phoneticPr fontId="1" type="noConversion"/>
  </si>
  <si>
    <t>25.2.0</t>
    <phoneticPr fontId="1" type="noConversion"/>
  </si>
  <si>
    <t>25.8.0</t>
    <phoneticPr fontId="1" type="noConversion"/>
  </si>
  <si>
    <t>28.2.0</t>
    <phoneticPr fontId="1" type="noConversion"/>
  </si>
  <si>
    <t>4.8.1</t>
    <phoneticPr fontId="1" type="noConversion"/>
  </si>
  <si>
    <t>import torch.tensor as tensor is no longer supported (#53424).
Instead, use from torch import tensor</t>
    <phoneticPr fontId="1" type="noConversion"/>
  </si>
  <si>
    <t>1.9.0</t>
    <phoneticPr fontId="1" type="noConversion"/>
  </si>
  <si>
    <t>torch.floor_divide has been deprecated in favor of torch.div(..., rounding_mode=‘floor’)</t>
    <phoneticPr fontId="1" type="noConversion"/>
  </si>
  <si>
    <t>Older linear algebra operations have been deprecated in favor of their new linalg module counterparts. Namely:
torch.{cholesky, qr, symeig, chain_matmul, solve, eig, matrix_rank, lstsq} have been deprecated in favor of torch.linalg.{cholesky, qr, symeig, chain_matmul, solve, eig, matrix_rank, lstsq} (#57725,#57745, #57732,#53453, #57741, #57727, #57734, #57743).
torch.norm has been deprecated in favor of the new linalg module norm functions: torch.linalg.vector_norm, torch.linalg.matrix_norm, and torch.linalg.norm (#57986).
Aliased torch.det, torch.slogdet, torch.matrix_power, torch.inverse, and torch.pinverse to their linalg module counterparts</t>
  </si>
  <si>
    <t>Deprecated get_analytical_jacobian and get_numerical_jacobian (#54378, #54049).
torch.autograd.gradcheck.get_analytical_jacobian and torch.autograd.gradcheck.get_numerical_jacobian are internal-facing functions that are not a part of our public API. We’ve refactored some PyTorch internals to work without it and will
remove it in a future release. For gradient checking purposes, please use torch.autograd.gradcheck.</t>
    <phoneticPr fontId="1" type="noConversion"/>
  </si>
  <si>
    <t>Renamed Callable to MapIterDataPipe</t>
    <phoneticPr fontId="1" type="noConversion"/>
  </si>
  <si>
    <t>New features</t>
    <phoneticPr fontId="1" type="noConversion"/>
  </si>
  <si>
    <t>Delete torch.autograd.function.traceable APIs (#122817)
The torch.autograd.function.traceable(...) API, which sets the is_traceable class attribute
on a torch.autograd.Function class was deprecated in 2.3 and is now being deleted.
This API does not do anything and was only meant for internal purposes.</t>
    <phoneticPr fontId="1" type="noConversion"/>
  </si>
  <si>
    <t>ONNX
• Remove caffe2 contrib and experiments</t>
    <phoneticPr fontId="1" type="noConversion"/>
  </si>
  <si>
    <t>Pipelining
Retire torch.distributed.pipeline (#127354)
In 2.3 and before, users can do:
import torch.distributed.pipeline # warning saying that this will be removed and users need to migrate to torch.distributed.pipelining
But from 2.4 forward, if users write the code above, users will get a ModuleNotFound error.
Instead, they should use torch.distributed.pipelining:
import torch.distributed.pipeline # -&gt; ModuleNotFoundError
import torch.distributed.pipelining</t>
    <phoneticPr fontId="1" type="noConversion"/>
  </si>
  <si>
    <t>Optim
Deprecate LRScheduler.print_lr</t>
    <phoneticPr fontId="1" type="noConversion"/>
  </si>
  <si>
    <t>FullyShardedDataParallel (FSDP)
Deprecate FSDP.state_dict_type and redirect users to distributed_state_dict 
 from 2.4 forward, if users call state_dict or set state_dict with the FSDP.state_dict_type, users will see warnings. And the recommended solution now is to use get_model_state_dict and set_model_state_dict directly</t>
    <phoneticPr fontId="1" type="noConversion"/>
  </si>
  <si>
    <t>Quantization
Remove deprecated torch._aminmax operator (#125995).
torch._aminmax -&gt; torch.aminmax instead</t>
    <phoneticPr fontId="1" type="noConversion"/>
  </si>
  <si>
    <t>Export
Start deprecation of capture_pre_autograd_graph</t>
    <phoneticPr fontId="1" type="noConversion"/>
  </si>
  <si>
    <t>XPU
Refactor autocast Python APIs(#124479)
torch.get_autocast_gpu_dtype() -&gt; torch.get_autocast_dtype(“cuda”),
torch.set_autocast_gpu_dtype(dtype) -&gt; torch.set_autocast_dtype(“cuda”, dtype),
torch.is_autocast_enabled()  -&gt; torch.is_autocast_enabled(“cuda”),
torch.set_autocast_enabled(enabled) -&gt; torch.set_autocast_enabled(”cuda”, enabled),
torch.get_autocast_cpu_dtype() -&gt; torch.get_autocast_dtype(“cpu”)
Make torch.amp.autocast more generic (#125103)
torch.cuda.amp.autocast(args…)  -&gt; torch.amp.autocast(“cuda”,args…),
torch.cpu.amp.autocast(args…)  -&gt; torch.amp.autocast(“cpu”, args…),
Deprecate device-specific GradScaler autocast API(#126527)
torch.cuda.amp.GradScaler(args…)  -&gt; torch.amp.GradScaler(“cuda”, args…),
torch.cuda.amp.GradScaler(args…)  -&gt; torch.amp.GradScaler(“cpu”, args…),
Generalize custom_fwd&amp;custom_bwd to be device-agnostic (#126531)
torch.cuda.amp.custom_fwd(args…)  -&gt; torch.amp.custom_fwd(args…, device_type=’cuda’),</t>
    <phoneticPr fontId="1" type="noConversion"/>
  </si>
  <si>
    <t>ONNX
Remove more caffe2 files</t>
    <phoneticPr fontId="1" type="noConversion"/>
  </si>
  <si>
    <t>Composability
Rename
impl_abstract to register_fake, part 1/2 (#123937)
register_impl to register_kernel (#124200)</t>
    <phoneticPr fontId="1" type="noConversion"/>
  </si>
  <si>
    <t xml:space="preserve">Move some modules to private namespace </t>
    <phoneticPr fontId="1" type="noConversion"/>
  </si>
  <si>
    <t>Release Engineering
• Remove of QNNPACK third-party module</t>
    <phoneticPr fontId="1" type="noConversion"/>
  </si>
  <si>
    <t>Distributed Checkpointing (DCP)
Remove the support of Dict[nn.Module, Dict[str, Any]] state_dict</t>
    <phoneticPr fontId="1" type="noConversion"/>
  </si>
  <si>
    <t>FullyShardedDataParallel (FSDP)
private _unshard API</t>
    <phoneticPr fontId="1" type="noConversion"/>
  </si>
  <si>
    <t>8.1.0</t>
    <phoneticPr fontId="1" type="noConversion"/>
  </si>
  <si>
    <t>0.3.1</t>
    <phoneticPr fontId="1" type="noConversion"/>
  </si>
  <si>
    <t>replaces, deprecated</t>
    <phoneticPr fontId="1" type="noConversion"/>
  </si>
  <si>
    <t>rename</t>
    <phoneticPr fontId="1" type="noConversion"/>
  </si>
  <si>
    <t>replaced</t>
    <phoneticPr fontId="1" type="noConversion"/>
  </si>
  <si>
    <t>deprecated</t>
    <phoneticPr fontId="1" type="noConversion"/>
  </si>
  <si>
    <t>removed</t>
    <phoneticPr fontId="1" type="noConversion"/>
  </si>
  <si>
    <t>deprecated, removed</t>
    <phoneticPr fontId="1" type="noConversion"/>
  </si>
  <si>
    <t>deprecated, instead</t>
    <phoneticPr fontId="1" type="noConversion"/>
  </si>
  <si>
    <t>deprecated, removed, instead</t>
    <phoneticPr fontId="1" type="noConversion"/>
  </si>
  <si>
    <t>deprecated, recommended, instead</t>
    <phoneticPr fontId="1" type="noConversion"/>
  </si>
  <si>
    <t>deprecated,</t>
    <phoneticPr fontId="1" type="noConversion"/>
  </si>
  <si>
    <t>removed, recommend, instead</t>
    <phoneticPr fontId="1" type="noConversion"/>
  </si>
  <si>
    <t>removed, instead</t>
    <phoneticPr fontId="1" type="noConversion"/>
  </si>
  <si>
    <t>moved</t>
    <phoneticPr fontId="1" type="noConversion"/>
  </si>
  <si>
    <t>removed, in favor of</t>
    <phoneticPr fontId="1" type="noConversion"/>
  </si>
  <si>
    <t>deprecate</t>
    <phoneticPr fontId="1" type="noConversion"/>
  </si>
  <si>
    <t>remove</t>
    <phoneticPr fontId="1" type="noConversion"/>
  </si>
  <si>
    <t>removed, replaced, moved</t>
    <phoneticPr fontId="1" type="noConversion"/>
  </si>
  <si>
    <t>instead</t>
    <phoneticPr fontId="1" type="noConversion"/>
  </si>
  <si>
    <t>deprecated, in favor of</t>
    <phoneticPr fontId="1" type="noConversion"/>
  </si>
  <si>
    <r>
      <t xml:space="preserve">metrics.jaccard_similarity_score is deprecated in </t>
    </r>
    <r>
      <rPr>
        <sz val="11"/>
        <color rgb="FFFF0000"/>
        <rFont val="等线"/>
        <family val="3"/>
        <charset val="134"/>
        <scheme val="minor"/>
      </rPr>
      <t>favour</t>
    </r>
    <r>
      <rPr>
        <sz val="11"/>
        <color theme="1"/>
        <rFont val="等线"/>
        <family val="2"/>
        <scheme val="minor"/>
      </rPr>
      <t xml:space="preserve"> of the more consistent metrics.jaccard_score. The former behavior for binary and multiclass targets is broken. #13151 by Joel Nothman.</t>
    </r>
    <phoneticPr fontId="1" type="noConversion"/>
  </si>
  <si>
    <t>no longer provides</t>
    <phoneticPr fontId="1" type="noConversion"/>
  </si>
  <si>
    <t>deprecated, removal</t>
    <phoneticPr fontId="1" type="noConversion"/>
  </si>
  <si>
    <t>deprecatd, instead</t>
    <phoneticPr fontId="1" type="noConversion"/>
  </si>
  <si>
    <t>no longer contains</t>
    <phoneticPr fontId="1" type="noConversion"/>
  </si>
  <si>
    <t>deprecated, moved</t>
    <phoneticPr fontId="1" type="noConversion"/>
  </si>
  <si>
    <t>any longer, deprecated</t>
    <phoneticPr fontId="1" type="noConversion"/>
  </si>
  <si>
    <t>renamed</t>
    <phoneticPr fontId="1" type="noConversion"/>
  </si>
  <si>
    <t>instead, deprecated, removed</t>
    <phoneticPr fontId="1" type="noConversion"/>
  </si>
  <si>
    <t>deleted</t>
    <phoneticPr fontId="1" type="noConversion"/>
  </si>
  <si>
    <t>The following API elements have been removed:
backend_gtk3.PIXELS_PER_INCH
backend_pgf.re_escapetext, backend_pgf.re_mathdefault.
the matplotlib.backends.tkagg, matplotlib.backends.windowing, matplotlib.backends.wx_compat, and matplotlib.compat.subprocess modules
RcParams.msg_depr, RcParams.msg_depr_ignore, RcParams.msg_depr_set, RcParams.msg_obsolete, RcParams.msg_backend_obsolete
afm.parse_afm (use afm.AFM instead)
axes.Axes.mouseover_set
backend_cairo.ArrayWrapper, backend_cairo.RendererCairo.convert_path
backend_gtk3.FileChooserDialog.sorted_filetypes (use sorted(self.filetypes.items()) instead)
backend_pgf.get_texcommand
backend_pdf.PdfFile.texFontMap
backend_ps.get_bbox
backend_qt.FigureCanvasQt.keyAutoRepeat (use event.guiEvent.isAutoRepeat instead), backend_qt.error_msg_qt, backend_qt.exception_handler
backend_wx.FigureCanvasWx.macros
backends.pylab_setup
cbook.Bunch (use types.SimpleNamespace instead), cbook.Locked, cbook.unicode_safe, cbook.is_numlike (use isinstance(..., numbers.Number) instead), cbook.mkdirs (use os.makedirs(..., exist_ok=True) instead), cbook.GetRealpathAndStat (use cbook.get_realpath_and_stat instead), cbook.listFiles
container.Container.set_remove_method
contour.ContourLabeler.cl, contour.ContourLabeler.cl_xy, contour.ContourLabeler.cl_cvalues (use labelTexts, labelXYs, labelCValues instead)
dates.DateFormatter.strftime, dates.DateFormatter.strftime_pre_1900
font_manager.TempCache, font_manager.FontManager.ttffiles, font_manager.FontManager.afmfiles
mathtext.unichr_safe (use chr instead)
patches.YAArrow (use patches.FancyArrowPatch instead)
sphinxext.plot_directive.remove_coding
table.Table.get_child_artists
testing.compare.compare_float, testing.decorators.CleanupTest, testing.decorators.ImageComparisonTest, testing.decorators.skip_if_command_unavailable, support for nose-based tests
text.Annotation.arrow (use text.Annotation.arrow_patch instead)
textpath.TextToPath.tex_font_map
ticker.Base, ticker.closeto, ticker.nearest_long
axes_grid1.axes_divider.LocatableAxesBase, axes_grid1.axes_divider.locatable_axes_factory, axes_grid1.axes_divider.Axes (use axes_grid1.mpl_axes.Axes instead), axes_grid1.axes_divider.LocatableAxes (use axes_grid1.mpl_axes.Axes instead)
axisartist.axes_divider.Axes, axisartist.axes_divider.LocatableAxes (use axisartist.axislines.Axes instead)
the normed keyword argument to hist (use density instead)
passing (verts, 0) or (..., 3) when specifying a marker to specify a path or a circle, respectively (instead, use verts or "o", respectively)
the examples.directory rcParam</t>
    <phoneticPr fontId="1" type="noConversion"/>
  </si>
  <si>
    <t>discouraged, deprecated</t>
    <phoneticPr fontId="1" type="noConversion"/>
  </si>
  <si>
    <t>privatized, deprecated</t>
    <phoneticPr fontId="1" type="noConversion"/>
  </si>
  <si>
    <t>deprecated, no longer necessary, instead</t>
    <phoneticPr fontId="1" type="noConversion"/>
  </si>
  <si>
    <t>deprecated, replacement</t>
    <phoneticPr fontId="1" type="noConversion"/>
  </si>
  <si>
    <t>instead, removed</t>
    <phoneticPr fontId="1" type="noConversion"/>
  </si>
  <si>
    <t>remvoed</t>
    <phoneticPr fontId="1" type="noConversion"/>
  </si>
  <si>
    <t>deprecation, instead</t>
    <phoneticPr fontId="1" type="noConversion"/>
  </si>
  <si>
    <t>deprecated, replaced</t>
    <phoneticPr fontId="1" type="noConversion"/>
  </si>
  <si>
    <t>deprecation, deprecated, instead, no longer used, replacement</t>
    <phoneticPr fontId="1" type="noConversion"/>
  </si>
  <si>
    <t>deprecated, in favor of, instead, deprecation</t>
    <phoneticPr fontId="1" type="noConversion"/>
  </si>
  <si>
    <t>deprecated, replaced, instead</t>
    <phoneticPr fontId="1" type="noConversion"/>
  </si>
  <si>
    <t>internal, deprecated</t>
    <phoneticPr fontId="1" type="noConversion"/>
  </si>
  <si>
    <t>deprecated, private, internal</t>
    <phoneticPr fontId="1" type="noConversion"/>
  </si>
  <si>
    <t>deprecated, instead,</t>
    <phoneticPr fontId="1" type="noConversion"/>
  </si>
  <si>
    <t>removed, internal</t>
    <phoneticPr fontId="1" type="noConversion"/>
  </si>
  <si>
    <t>removed, instead, replacement</t>
    <phoneticPr fontId="1" type="noConversion"/>
  </si>
  <si>
    <t>removing, deprecations</t>
    <phoneticPr fontId="1" type="noConversion"/>
  </si>
  <si>
    <t>deprecate, replaced</t>
    <phoneticPr fontId="1" type="noConversion"/>
  </si>
  <si>
    <t>deprecate, in favor of</t>
    <phoneticPr fontId="1" type="noConversion"/>
  </si>
  <si>
    <t>moving, removal</t>
    <phoneticPr fontId="1" type="noConversion"/>
  </si>
  <si>
    <t>move</t>
    <phoneticPr fontId="1" type="noConversion"/>
  </si>
  <si>
    <t>deletes</t>
    <phoneticPr fontId="1" type="noConversion"/>
  </si>
  <si>
    <t>removed, migrate</t>
    <phoneticPr fontId="1" type="noConversion"/>
  </si>
  <si>
    <t>removal</t>
    <phoneticPr fontId="1" type="noConversion"/>
  </si>
  <si>
    <t>deprecated, in favour of</t>
    <phoneticPr fontId="1" type="noConversion"/>
  </si>
  <si>
    <t>internal, replaced</t>
    <phoneticPr fontId="1" type="noConversion"/>
  </si>
  <si>
    <t>drop, replaced</t>
    <phoneticPr fontId="1" type="noConversion"/>
  </si>
  <si>
    <t>drop, in favor of</t>
    <phoneticPr fontId="1" type="noConversion"/>
  </si>
  <si>
    <t>in favour of, deprecation</t>
    <phoneticPr fontId="1" type="noConversion"/>
  </si>
  <si>
    <t>drop</t>
    <phoneticPr fontId="1" type="noConversion"/>
  </si>
  <si>
    <t>remove</t>
    <phoneticPr fontId="1" type="noConversion"/>
  </si>
  <si>
    <t>merged</t>
    <phoneticPr fontId="1" type="noConversion"/>
  </si>
  <si>
    <t>deprecation</t>
    <phoneticPr fontId="1" type="noConversion"/>
  </si>
  <si>
    <t>Deprecation of volatile flag
The volatile flag is now deprecated and has no effect. Previously, any computation that involves a Variable with volatile=True won't be tracked by autograd. This has now been replaced by a set of more flexible context managers including torch.no_grad(), torch.set_grad_enabled(grad_mode), and others.</t>
    <phoneticPr fontId="1" type="noConversion"/>
  </si>
  <si>
    <t>deprecation, deprecated, replaced</t>
    <phoneticPr fontId="1" type="noConversion"/>
  </si>
  <si>
    <t>renamed, deprecate</t>
    <phoneticPr fontId="1" type="noConversion"/>
  </si>
  <si>
    <t>removed, deprecated</t>
    <phoneticPr fontId="1" type="noConversion"/>
  </si>
  <si>
    <t>private</t>
    <phoneticPr fontId="1" type="noConversion"/>
  </si>
  <si>
    <t>no longer supported, instead</t>
    <phoneticPr fontId="1" type="noConversion"/>
  </si>
  <si>
    <t>deprecated, remove</t>
    <phoneticPr fontId="1" type="noConversion"/>
  </si>
  <si>
    <t>delete, deprecated, internal</t>
    <phoneticPr fontId="1" type="noConversion"/>
  </si>
  <si>
    <t>remove, deprecated</t>
    <phoneticPr fontId="1" type="noConversion"/>
  </si>
  <si>
    <t>remove, deprecated, instead</t>
    <phoneticPr fontId="1" type="noConversion"/>
  </si>
  <si>
    <t>refactor, deprecate</t>
    <phoneticPr fontId="1" type="noConversion"/>
  </si>
  <si>
    <t>rename, private</t>
    <phoneticPr fontId="1" type="noConversion"/>
  </si>
  <si>
    <t xml:space="preserve">deprecate, in favor of </t>
    <phoneticPr fontId="1" type="noConversion"/>
  </si>
  <si>
    <t>deprecates</t>
    <phoneticPr fontId="1" type="noConversion"/>
  </si>
  <si>
    <t>no longer includes</t>
    <phoneticPr fontId="1" type="noConversion"/>
  </si>
  <si>
    <t>deprcated, removal, instead, remove</t>
    <phoneticPr fontId="1" type="noConversion"/>
  </si>
  <si>
    <t>refactored</t>
    <phoneticPr fontId="1" type="noConversion"/>
  </si>
  <si>
    <t>removed, deprecation, instead</t>
    <phoneticPr fontId="1" type="noConversion"/>
  </si>
  <si>
    <t xml:space="preserve">Remove config assumption in Trainer </t>
    <phoneticPr fontId="1" type="noConversion"/>
  </si>
  <si>
    <t>internal</t>
    <phoneticPr fontId="1" type="noConversion"/>
  </si>
  <si>
    <t>in favor of</t>
    <phoneticPr fontId="1" type="noConversion"/>
  </si>
  <si>
    <t>no longer possible</t>
    <phoneticPr fontId="1" type="noConversion"/>
  </si>
  <si>
    <t>no longer need</t>
    <phoneticPr fontId="1" type="noConversion"/>
  </si>
  <si>
    <t>becomes</t>
    <phoneticPr fontId="1" type="noConversion"/>
  </si>
  <si>
    <t>subsumed</t>
    <phoneticPr fontId="1" type="noConversion"/>
  </si>
  <si>
    <t>total=</t>
    <phoneticPr fontId="1" type="noConversion"/>
  </si>
  <si>
    <t>total</t>
    <phoneticPr fontId="1" type="noConversion"/>
  </si>
  <si>
    <t>total=</t>
    <phoneticPr fontId="1" type="noConversion"/>
  </si>
  <si>
    <t>total=</t>
    <phoneticPr fontId="1" type="noConversion"/>
  </si>
  <si>
    <t>no longer exposed, private</t>
    <phoneticPr fontId="1" type="noConversion"/>
  </si>
  <si>
    <t>deprecated, instead, becomes</t>
    <phoneticPr fontId="1" type="noConversion"/>
  </si>
  <si>
    <t>moved, deprecation</t>
    <phoneticPr fontId="1" type="noConversion"/>
  </si>
  <si>
    <t>moved, deprecated, moves, deprecation, discouraged, removed</t>
    <phoneticPr fontId="1" type="noConversion"/>
  </si>
  <si>
    <t>instead, migrate, retire, removed</t>
    <phoneticPr fontId="1" type="noConversion"/>
  </si>
  <si>
    <t>deprecate, redirect,  recommended</t>
    <phoneticPr fontId="1" type="noConversion"/>
  </si>
  <si>
    <t>private, move</t>
    <phoneticPr fontId="1" type="noConversion"/>
  </si>
  <si>
    <t>deprecate, removed</t>
    <phoneticPr fontId="1" type="noConversion"/>
  </si>
  <si>
    <t>deprecated, subsumed</t>
    <phoneticPr fontId="1" type="noConversion"/>
  </si>
  <si>
    <t>private, remove, internal</t>
    <phoneticPr fontId="1" type="noConversion"/>
  </si>
  <si>
    <t>discouraged, in favor of</t>
    <phoneticPr fontId="1" type="noConversion"/>
  </si>
  <si>
    <t>remove, rename, deprecation</t>
    <phoneticPr fontId="1" type="noConversion"/>
  </si>
  <si>
    <t>deprecation, removed</t>
    <phoneticPr fontId="1" type="noConversion"/>
  </si>
  <si>
    <t>recommend, no longer possible</t>
    <phoneticPr fontId="1" type="noConversion"/>
  </si>
  <si>
    <t>deprecations</t>
    <phoneticPr fontId="1" type="noConversion"/>
  </si>
  <si>
    <t>removing</t>
    <phoneticPr fontId="1" type="noConversion"/>
  </si>
  <si>
    <t>no longer necessary</t>
    <phoneticPr fontId="1" type="noConversion"/>
  </si>
  <si>
    <t>no longer exposed</t>
    <phoneticPr fontId="1" type="noConversion"/>
  </si>
  <si>
    <t>no longer supported</t>
    <phoneticPr fontId="1" type="noConversion"/>
  </si>
  <si>
    <t>any longer</t>
    <phoneticPr fontId="1" type="noConversion"/>
  </si>
  <si>
    <t>delete</t>
    <phoneticPr fontId="1" type="noConversion"/>
  </si>
  <si>
    <t>discouraged</t>
    <phoneticPr fontId="1" type="noConversion"/>
  </si>
  <si>
    <t>replaces</t>
    <phoneticPr fontId="1" type="noConversion"/>
  </si>
  <si>
    <t>recommend</t>
    <phoneticPr fontId="1" type="noConversion"/>
  </si>
  <si>
    <t>recommended</t>
    <phoneticPr fontId="1" type="noConversion"/>
  </si>
  <si>
    <t>in favour of</t>
    <phoneticPr fontId="1" type="noConversion"/>
  </si>
  <si>
    <t>replacement</t>
    <phoneticPr fontId="1" type="noConversion"/>
  </si>
  <si>
    <t>migrate</t>
    <phoneticPr fontId="1" type="noConversion"/>
  </si>
  <si>
    <t>redirect</t>
    <phoneticPr fontId="1" type="noConversion"/>
  </si>
  <si>
    <t>moves</t>
    <phoneticPr fontId="1" type="noConversion"/>
  </si>
  <si>
    <t>moving</t>
    <phoneticPr fontId="1" type="noConversion"/>
  </si>
  <si>
    <t>refactor</t>
    <phoneticPr fontId="1" type="noConversion"/>
  </si>
  <si>
    <t>privatized</t>
    <phoneticPr fontId="1" type="noConversion"/>
  </si>
  <si>
    <t>removed, no longer need</t>
    <phoneticPr fontId="1" type="noConversion"/>
  </si>
  <si>
    <t>The following class methods have been removed:
Axis.cla(); use Axis.clear instead.
RadialAxis.cla() and ThetaAxis.cla(); use RadialAxis.clear or ThetaAxis.clear instead.
Spine.cla(); use Spine.clear instead.
ContourLabeler.get_label_coords(); there is no replacement as it was considered an internal helper.
FancyArrowPatch.get_dpi_cor and FancyArrowPatch.set_dpi_cor
FigureCanvas.get_window_title() and FigureCanvas.set_window_title(); use FigureManagerBase.get_window_title or FigureManagerBase.set_window_title if using pyplot, or use GUI-specific methods if embedding.
FigureManager.key_press() and FigureManager.button_press(); trigger the events directly on the canvas using canvas.callbacks.process(event.name, event) for key and button events.
RendererAgg.get_content_extents() and RendererAgg.tostring_rgba_minimized()
NavigationToolbar2Wx.get_canvas()
ParasiteAxesBase.update_viewlim(); use ParasiteAxesBase.apply_aspect instead.
Subplot.get_geometry(); use SubplotBase.get_subplotspec instead.
Subplot.change_geometry(); use SubplotBase.set_subplotspec instead.
Subplot.update_params(); this method did nothing.
Subplot.is_first_row(); use ax.get_subplotspec().is_first_row instead.
Subplot.is_first_col(); use ax.get_subplotspec().is_first_col instead.
Subplot.is_last_row(); use ax.get_subplotspec().is_last_row instead.
Subplot.is_last_col(); use ax.get_subplotspec().is_last_col instead.
SubplotDivider.change_geometry(); use SubplotDivider.set_subplotspec instead.
SubplotDivider.get_geometry(); use SubplotDivider.get_subplotspec instead.
SubplotDivider.update_params()
get_depth, parse, to_mask, to_rgba, and to_png of MathTextParser; use mathtext.math_to_image instead.
MovieWriter.cleanup(); the cleanup logic is instead fully implemented in MovieWriter.finish and cleanup is no longer  called.</t>
    <phoneticPr fontId="1" type="noConversion"/>
  </si>
  <si>
    <t>discourag</t>
    <phoneticPr fontId="1" type="noConversion"/>
  </si>
  <si>
    <t>deprecat</t>
    <phoneticPr fontId="1" type="noConversion"/>
  </si>
  <si>
    <t>longer</t>
    <phoneticPr fontId="1" type="noConversion"/>
  </si>
  <si>
    <t>delet</t>
    <phoneticPr fontId="1" type="noConversion"/>
  </si>
  <si>
    <t>replac</t>
    <phoneticPr fontId="1" type="noConversion"/>
  </si>
  <si>
    <t>in favo</t>
    <phoneticPr fontId="1" type="noConversion"/>
  </si>
  <si>
    <t>migrat</t>
    <phoneticPr fontId="1" type="noConversion"/>
  </si>
  <si>
    <t>subsum</t>
    <phoneticPr fontId="1" type="noConversion"/>
  </si>
  <si>
    <t>becom</t>
    <phoneticPr fontId="1" type="noConversion"/>
  </si>
  <si>
    <t>renam</t>
    <phoneticPr fontId="1" type="noConversion"/>
  </si>
  <si>
    <t>mov</t>
    <phoneticPr fontId="1" type="noConversion"/>
  </si>
  <si>
    <t>merg</t>
    <phoneticPr fontId="1" type="noConversion"/>
  </si>
  <si>
    <t>privat</t>
    <phoneticPr fontId="1" type="noConversion"/>
  </si>
  <si>
    <t>no longer used</t>
    <phoneticPr fontId="1" type="noConversion"/>
  </si>
  <si>
    <t>deprecated, removal, replacement</t>
    <phoneticPr fontId="1" type="noConversion"/>
  </si>
  <si>
    <t>0.25.1</t>
    <phoneticPr fontId="1" type="noConversion"/>
  </si>
  <si>
    <t>deprecated, remove, removed</t>
    <phoneticPr fontId="1" type="noConversion"/>
  </si>
  <si>
    <t>deprecations, deprecated, removed, internal</t>
    <phoneticPr fontId="1" type="noConversion"/>
  </si>
  <si>
    <t>deprecations, instead, in favor of, replaced, deprecated</t>
    <phoneticPr fontId="1" type="noConversion"/>
  </si>
  <si>
    <t>redirect</t>
    <phoneticPr fontId="1" type="noConversion"/>
  </si>
  <si>
    <t>subsum</t>
    <phoneticPr fontId="1" type="noConversion"/>
  </si>
  <si>
    <t>becom</t>
    <phoneticPr fontId="1" type="noConversion"/>
  </si>
  <si>
    <t>merg</t>
    <phoneticPr fontId="1" type="noConversion"/>
  </si>
  <si>
    <t>deprecat</t>
    <phoneticPr fontId="1" type="noConversion"/>
  </si>
  <si>
    <t>mov</t>
    <phoneticPr fontId="1" type="noConversion"/>
  </si>
  <si>
    <t>instead</t>
    <phoneticPr fontId="1" type="noConversion"/>
  </si>
  <si>
    <t>replac</t>
    <phoneticPr fontId="1" type="noConversion"/>
  </si>
  <si>
    <t>privat</t>
    <phoneticPr fontId="1" type="noConversion"/>
  </si>
  <si>
    <t>renam</t>
    <phoneticPr fontId="1" type="noConversion"/>
  </si>
  <si>
    <t>in favo</t>
    <phoneticPr fontId="1" type="noConversion"/>
  </si>
  <si>
    <t>longer</t>
    <phoneticPr fontId="1" type="noConversion"/>
  </si>
  <si>
    <t>internal</t>
    <phoneticPr fontId="1" type="noConversion"/>
  </si>
  <si>
    <t>drop</t>
    <phoneticPr fontId="1" type="noConversion"/>
  </si>
  <si>
    <t>recommend</t>
    <phoneticPr fontId="1" type="noConversion"/>
  </si>
  <si>
    <t>delet</t>
    <phoneticPr fontId="1" type="noConversion"/>
  </si>
  <si>
    <t>discourag</t>
    <phoneticPr fontId="1" type="noConversion"/>
  </si>
  <si>
    <t>migrat</t>
    <phoneticPr fontId="1" type="noConversion"/>
  </si>
  <si>
    <t>refactor</t>
    <phoneticPr fontId="1" type="noConversion"/>
  </si>
  <si>
    <t>deprecat</t>
    <phoneticPr fontId="1" type="noConversion"/>
  </si>
  <si>
    <r>
      <t>deprecat</t>
    </r>
    <r>
      <rPr>
        <b/>
        <sz val="11"/>
        <color theme="1"/>
        <rFont val="等线"/>
        <family val="3"/>
        <charset val="134"/>
        <scheme val="minor"/>
      </rPr>
      <t>+mov</t>
    </r>
    <phoneticPr fontId="1" type="noConversion"/>
  </si>
  <si>
    <r>
      <t>deprecat+mov</t>
    </r>
    <r>
      <rPr>
        <b/>
        <sz val="11"/>
        <color theme="1"/>
        <rFont val="等线"/>
        <family val="3"/>
        <charset val="134"/>
        <scheme val="minor"/>
      </rPr>
      <t>+replac</t>
    </r>
    <phoneticPr fontId="1" type="noConversion"/>
  </si>
  <si>
    <r>
      <t>deprecat+mov+replac</t>
    </r>
    <r>
      <rPr>
        <b/>
        <sz val="11"/>
        <color theme="1"/>
        <rFont val="等线"/>
        <family val="3"/>
        <charset val="134"/>
        <scheme val="minor"/>
      </rPr>
      <t>+privat</t>
    </r>
    <phoneticPr fontId="1" type="noConversion"/>
  </si>
  <si>
    <r>
      <t>deprecat+mov+replac+privat</t>
    </r>
    <r>
      <rPr>
        <b/>
        <sz val="11"/>
        <color theme="1"/>
        <rFont val="等线"/>
        <family val="3"/>
        <charset val="134"/>
        <scheme val="minor"/>
      </rPr>
      <t>+renam</t>
    </r>
    <phoneticPr fontId="1" type="noConversion"/>
  </si>
  <si>
    <r>
      <t>deprecat+mov+replac+privat+renam</t>
    </r>
    <r>
      <rPr>
        <b/>
        <sz val="11"/>
        <color theme="1"/>
        <rFont val="等线"/>
        <family val="3"/>
        <charset val="134"/>
        <scheme val="minor"/>
      </rPr>
      <t>+longer</t>
    </r>
    <phoneticPr fontId="1" type="noConversion"/>
  </si>
  <si>
    <r>
      <t>deprecat+mov+replac+privat+renam+longer</t>
    </r>
    <r>
      <rPr>
        <b/>
        <sz val="11"/>
        <color theme="1"/>
        <rFont val="等线"/>
        <family val="3"/>
        <charset val="134"/>
        <scheme val="minor"/>
      </rPr>
      <t>+drop</t>
    </r>
    <phoneticPr fontId="1" type="noConversion"/>
  </si>
  <si>
    <r>
      <t>deprecat+mov+replac+privat+renam+longer+drop</t>
    </r>
    <r>
      <rPr>
        <b/>
        <sz val="11"/>
        <color theme="1"/>
        <rFont val="等线"/>
        <family val="3"/>
        <charset val="134"/>
        <scheme val="minor"/>
      </rPr>
      <t>+delet</t>
    </r>
    <phoneticPr fontId="1" type="noConversion"/>
  </si>
  <si>
    <t>version</t>
  </si>
  <si>
    <t>entries for deprecation changes</t>
  </si>
  <si>
    <t>section</t>
  </si>
  <si>
    <t>keyword</t>
  </si>
  <si>
    <t>这里有一条条目没有keyword</t>
  </si>
  <si>
    <t>-</t>
  </si>
  <si>
    <t>covered entries</t>
    <phoneticPr fontId="1" type="noConversion"/>
  </si>
  <si>
    <t>coverage</t>
    <phoneticPr fontId="1" type="noConversion"/>
  </si>
  <si>
    <t>stemmed keywords</t>
    <phoneticPr fontId="1" type="noConversion"/>
  </si>
  <si>
    <t>covered entries(reference value)</t>
    <phoneticPr fontId="1" type="noConversion"/>
  </si>
  <si>
    <t>covered entries(actual value)</t>
    <phoneticPr fontId="1" type="noConversion"/>
  </si>
  <si>
    <t>No-keyword entries</t>
    <phoneticPr fontId="1" type="noConversion"/>
  </si>
  <si>
    <t>Entries containing only one keyword</t>
    <phoneticPr fontId="1" type="noConversion"/>
  </si>
  <si>
    <t>gradually enlarge the set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</si>
</sst>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000"/>
    <numFmt numFmtId="178" formatCode="0.000_ "/>
    <numFmt numFmtId="179" formatCode="0.0000"/>
    <numFmt numFmtId="180" formatCode="0.00_);[Red]\(0.00\)"/>
  </numFmts>
  <fonts count="11">
    <font>
      <sz val="11"/>
      <color theme="1"/>
      <name val="等线"/>
      <family val="2"/>
      <scheme val="minor"/>
    </font>
    <font>
      <sz val="9"/>
      <name val="等线"/>
      <family val="3"/>
      <charset val="134"/>
      <scheme val="minor"/>
    </font>
    <font>
      <u/>
      <sz val="11"/>
      <color theme="10"/>
      <name val="等线"/>
      <family val="2"/>
      <scheme val="minor"/>
    </font>
    <font>
      <sz val="11"/>
      <color rgb="FFFF0000"/>
      <name val="等线"/>
      <family val="3"/>
      <charset val="134"/>
      <scheme val="minor"/>
    </font>
    <font>
      <sz val="11"/>
      <name val="等线"/>
      <family val="2"/>
      <scheme val="minor"/>
    </font>
    <font>
      <sz val="11"/>
      <name val="等线"/>
      <family val="3"/>
      <charset val="134"/>
      <scheme val="minor"/>
    </font>
    <font>
      <sz val="11"/>
      <color rgb="FFFF0000"/>
      <name val="等线"/>
      <family val="2"/>
      <scheme val="minor"/>
    </font>
    <font>
      <sz val="11"/>
      <color theme="1"/>
      <name val="等线"/>
      <family val="2"/>
      <scheme val="minor"/>
    </font>
    <font>
      <strike/>
      <sz val="11"/>
      <color theme="1"/>
      <name val="等线"/>
      <family val="2"/>
      <scheme val="minor"/>
    </font>
    <font>
      <strike/>
      <sz val="11"/>
      <color theme="1"/>
      <name val="等线"/>
      <family val="3"/>
      <charset val="134"/>
      <scheme val="minor"/>
    </font>
    <font>
      <b/>
      <sz val="11"/>
      <color theme="1"/>
      <name val="等线"/>
      <family val="3"/>
      <charset val="134"/>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9" fontId="7" fillId="0" borderId="0" applyFont="0" applyFill="0" applyBorder="0" applyAlignment="0" applyProtection="0">
      <alignment vertical="center"/>
    </xf>
  </cellStyleXfs>
  <cellXfs count="30">
    <xf numFmtId="0" fontId="0" fillId="0" borderId="0" xfId="0"/>
    <xf numFmtId="0" fontId="0" fillId="0" borderId="0" xfId="0"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wrapText="1"/>
    </xf>
    <xf numFmtId="49" fontId="0" fillId="0" borderId="0" xfId="0" applyNumberFormat="1" applyAlignment="1">
      <alignment horizontal="center" vertical="center"/>
    </xf>
    <xf numFmtId="49" fontId="0" fillId="0" borderId="0" xfId="0" applyNumberFormat="1" applyAlignment="1">
      <alignment wrapText="1"/>
    </xf>
    <xf numFmtId="0" fontId="2" fillId="0" borderId="0" xfId="1"/>
    <xf numFmtId="0" fontId="4" fillId="0" borderId="0" xfId="0" applyFont="1" applyAlignment="1">
      <alignment wrapText="1"/>
    </xf>
    <xf numFmtId="0" fontId="0" fillId="0" borderId="0" xfId="0" applyFont="1" applyAlignment="1">
      <alignment wrapText="1"/>
    </xf>
    <xf numFmtId="0" fontId="0" fillId="0" borderId="0" xfId="0" applyFill="1"/>
    <xf numFmtId="0" fontId="5" fillId="0" borderId="0" xfId="0" applyFont="1" applyAlignment="1">
      <alignment wrapText="1"/>
    </xf>
    <xf numFmtId="0" fontId="6" fillId="0" borderId="0" xfId="0" applyFont="1"/>
    <xf numFmtId="10" fontId="0" fillId="0" borderId="0" xfId="2" applyNumberFormat="1" applyFont="1" applyAlignment="1"/>
    <xf numFmtId="0" fontId="0" fillId="0" borderId="0" xfId="0" applyFill="1" applyAlignment="1">
      <alignment wrapText="1"/>
    </xf>
    <xf numFmtId="176" fontId="0" fillId="0" borderId="0" xfId="2" applyNumberFormat="1" applyFont="1" applyAlignment="1"/>
    <xf numFmtId="177" fontId="0" fillId="0" borderId="0" xfId="0" applyNumberFormat="1"/>
    <xf numFmtId="1" fontId="0" fillId="0" borderId="0" xfId="0" applyNumberFormat="1"/>
    <xf numFmtId="178" fontId="0" fillId="0" borderId="0" xfId="0" applyNumberFormat="1"/>
    <xf numFmtId="0" fontId="0" fillId="2" borderId="0" xfId="0" applyFill="1" applyAlignment="1">
      <alignment wrapText="1"/>
    </xf>
    <xf numFmtId="0" fontId="8" fillId="0" borderId="0" xfId="0" applyFont="1"/>
    <xf numFmtId="1" fontId="9" fillId="0" borderId="0" xfId="0" applyNumberFormat="1" applyFont="1"/>
    <xf numFmtId="177" fontId="9" fillId="0" borderId="0" xfId="0" applyNumberFormat="1" applyFont="1"/>
    <xf numFmtId="178" fontId="9" fillId="0" borderId="0" xfId="0" applyNumberFormat="1" applyFont="1"/>
    <xf numFmtId="179" fontId="0" fillId="0" borderId="0" xfId="0" applyNumberFormat="1"/>
    <xf numFmtId="180" fontId="0" fillId="0" borderId="0" xfId="0" applyNumberFormat="1"/>
    <xf numFmtId="0" fontId="10" fillId="0" borderId="0" xfId="0" applyFont="1"/>
    <xf numFmtId="0" fontId="0" fillId="0" borderId="0" xfId="0" applyAlignment="1">
      <alignment horizontal="center"/>
    </xf>
    <xf numFmtId="0" fontId="0" fillId="0" borderId="0" xfId="0" applyAlignment="1">
      <alignment horizontal="center" vertical="center" wrapText="1"/>
    </xf>
  </cellXfs>
  <cellStyles count="3">
    <cellStyle name="百分比" xfId="2" builtinId="5"/>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workbookViewId="0">
      <selection activeCell="H15" sqref="H15"/>
    </sheetView>
  </sheetViews>
  <sheetFormatPr defaultRowHeight="24.5" customHeight="1"/>
  <cols>
    <col min="1" max="1" width="13.25" style="5" customWidth="1"/>
    <col min="2" max="2" width="52.75" style="5" customWidth="1"/>
    <col min="3" max="3" width="35.1640625" style="5" customWidth="1"/>
    <col min="4" max="4" width="25.6640625" style="5" customWidth="1"/>
    <col min="5" max="16384" width="8.6640625" style="5"/>
  </cols>
  <sheetData>
    <row r="1" spans="1:4" ht="24.5" customHeight="1">
      <c r="A1" s="4" t="s">
        <v>726</v>
      </c>
      <c r="B1" s="3" t="s">
        <v>727</v>
      </c>
      <c r="C1" s="3" t="s">
        <v>728</v>
      </c>
      <c r="D1" s="3" t="s">
        <v>729</v>
      </c>
    </row>
    <row r="2" spans="1:4" ht="24.5" customHeight="1">
      <c r="A2" s="2" t="s">
        <v>0</v>
      </c>
      <c r="B2" s="3" t="s">
        <v>731</v>
      </c>
    </row>
    <row r="3" spans="1:4" ht="24.5" customHeight="1">
      <c r="A3" s="2" t="s">
        <v>1</v>
      </c>
      <c r="B3" s="3" t="s">
        <v>731</v>
      </c>
    </row>
    <row r="4" spans="1:4" ht="24.5" customHeight="1">
      <c r="A4" s="2" t="s">
        <v>2</v>
      </c>
      <c r="B4" s="3" t="s">
        <v>731</v>
      </c>
    </row>
    <row r="5" spans="1:4" ht="24.5" customHeight="1">
      <c r="A5" s="2" t="s">
        <v>3</v>
      </c>
      <c r="B5" s="3" t="s">
        <v>731</v>
      </c>
    </row>
    <row r="6" spans="1:4" ht="24.5" customHeight="1">
      <c r="A6" s="2" t="s">
        <v>4</v>
      </c>
      <c r="B6" s="3" t="s">
        <v>731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3D6C3-FC77-4FE0-8890-BCD3CA911CBF}">
  <dimension ref="A1:D6"/>
  <sheetViews>
    <sheetView zoomScale="85" zoomScaleNormal="85" workbookViewId="0">
      <selection activeCell="C13" sqref="C13"/>
    </sheetView>
  </sheetViews>
  <sheetFormatPr defaultColWidth="27.75" defaultRowHeight="33" customHeight="1"/>
  <cols>
    <col min="1" max="1" width="22.4140625" style="1" customWidth="1"/>
    <col min="2" max="2" width="58.33203125" style="1" customWidth="1"/>
    <col min="3" max="3" width="35.5" style="1" customWidth="1"/>
    <col min="4" max="16384" width="27.75" style="1"/>
  </cols>
  <sheetData>
    <row r="1" spans="1:4" ht="33" customHeight="1">
      <c r="A1" s="2" t="s">
        <v>726</v>
      </c>
      <c r="B1" s="3" t="s">
        <v>727</v>
      </c>
      <c r="C1" s="3" t="s">
        <v>728</v>
      </c>
      <c r="D1" s="1" t="s">
        <v>729</v>
      </c>
    </row>
    <row r="2" spans="1:4" ht="33" customHeight="1">
      <c r="A2" s="2" t="s">
        <v>5</v>
      </c>
      <c r="B2" s="3" t="s">
        <v>731</v>
      </c>
    </row>
    <row r="3" spans="1:4" ht="33" customHeight="1">
      <c r="A3" s="2" t="s">
        <v>6</v>
      </c>
      <c r="B3" s="3" t="s">
        <v>731</v>
      </c>
    </row>
    <row r="4" spans="1:4" ht="33" customHeight="1">
      <c r="A4" s="2" t="s">
        <v>7</v>
      </c>
      <c r="B4" s="3" t="s">
        <v>731</v>
      </c>
    </row>
    <row r="5" spans="1:4" ht="33" customHeight="1">
      <c r="A5" s="2" t="s">
        <v>8</v>
      </c>
      <c r="B5" s="3" t="s">
        <v>731</v>
      </c>
    </row>
    <row r="6" spans="1:4" ht="33" customHeight="1">
      <c r="A6" s="1" t="s">
        <v>641</v>
      </c>
      <c r="B6" s="1">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F1EB-1E35-40B2-B2C5-0946AF6D2465}">
  <dimension ref="A1:D65"/>
  <sheetViews>
    <sheetView topLeftCell="A21" zoomScale="85" zoomScaleNormal="85" workbookViewId="0">
      <selection activeCell="B9" sqref="B9"/>
    </sheetView>
  </sheetViews>
  <sheetFormatPr defaultColWidth="22.83203125" defaultRowHeight="41" customHeight="1"/>
  <cols>
    <col min="1" max="1" width="7.5" customWidth="1"/>
    <col min="2" max="2" width="59.1640625" customWidth="1"/>
    <col min="3" max="3" width="39.83203125" customWidth="1"/>
    <col min="4" max="4" width="45.83203125" customWidth="1"/>
  </cols>
  <sheetData>
    <row r="1" spans="1:4" ht="41" customHeight="1">
      <c r="A1" s="2" t="s">
        <v>726</v>
      </c>
      <c r="B1" s="3" t="s">
        <v>727</v>
      </c>
      <c r="C1" s="3" t="s">
        <v>728</v>
      </c>
      <c r="D1" s="1" t="s">
        <v>729</v>
      </c>
    </row>
    <row r="2" spans="1:4" ht="41" customHeight="1">
      <c r="A2" s="2" t="s">
        <v>9</v>
      </c>
      <c r="B2" s="3" t="s">
        <v>731</v>
      </c>
    </row>
    <row r="3" spans="1:4" ht="41" customHeight="1">
      <c r="A3" t="s">
        <v>16</v>
      </c>
      <c r="B3" s="3" t="s">
        <v>10</v>
      </c>
      <c r="C3" s="3" t="s">
        <v>11</v>
      </c>
      <c r="D3" t="s">
        <v>553</v>
      </c>
    </row>
    <row r="4" spans="1:4" ht="41" customHeight="1">
      <c r="A4" t="s">
        <v>16</v>
      </c>
      <c r="B4" s="3" t="s">
        <v>12</v>
      </c>
      <c r="C4" s="3" t="s">
        <v>13</v>
      </c>
      <c r="D4" t="s">
        <v>554</v>
      </c>
    </row>
    <row r="5" spans="1:4" ht="41" customHeight="1">
      <c r="A5" t="s">
        <v>16</v>
      </c>
      <c r="B5" s="3" t="s">
        <v>14</v>
      </c>
      <c r="C5" s="3" t="s">
        <v>15</v>
      </c>
      <c r="D5" t="s">
        <v>555</v>
      </c>
    </row>
    <row r="6" spans="1:4" ht="41" customHeight="1">
      <c r="A6" t="s">
        <v>17</v>
      </c>
      <c r="B6" s="3" t="s">
        <v>731</v>
      </c>
    </row>
    <row r="7" spans="1:4" ht="41" customHeight="1">
      <c r="A7" t="s">
        <v>695</v>
      </c>
      <c r="B7" s="3" t="s">
        <v>731</v>
      </c>
    </row>
    <row r="8" spans="1:4" ht="98">
      <c r="A8" t="s">
        <v>78</v>
      </c>
      <c r="B8" s="3" t="s">
        <v>18</v>
      </c>
      <c r="C8" s="3" t="s">
        <v>19</v>
      </c>
      <c r="D8" t="s">
        <v>658</v>
      </c>
    </row>
    <row r="9" spans="1:4" ht="41" customHeight="1">
      <c r="A9" t="s">
        <v>78</v>
      </c>
      <c r="B9" s="3" t="s">
        <v>20</v>
      </c>
      <c r="C9" s="3" t="s">
        <v>19</v>
      </c>
      <c r="D9" t="s">
        <v>558</v>
      </c>
    </row>
    <row r="10" spans="1:4" ht="41" customHeight="1">
      <c r="A10" t="s">
        <v>78</v>
      </c>
      <c r="B10" s="3" t="s">
        <v>21</v>
      </c>
      <c r="C10" s="3" t="s">
        <v>22</v>
      </c>
      <c r="D10" t="s">
        <v>559</v>
      </c>
    </row>
    <row r="11" spans="1:4" ht="41" customHeight="1">
      <c r="A11" t="s">
        <v>78</v>
      </c>
      <c r="B11" s="3" t="s">
        <v>23</v>
      </c>
      <c r="C11" s="3" t="s">
        <v>22</v>
      </c>
      <c r="D11" t="s">
        <v>559</v>
      </c>
    </row>
    <row r="12" spans="1:4" ht="41" customHeight="1">
      <c r="A12" t="s">
        <v>78</v>
      </c>
      <c r="B12" s="3" t="s">
        <v>24</v>
      </c>
      <c r="C12" s="3" t="s">
        <v>22</v>
      </c>
      <c r="D12" t="s">
        <v>560</v>
      </c>
    </row>
    <row r="13" spans="1:4" ht="41" customHeight="1">
      <c r="A13" t="s">
        <v>78</v>
      </c>
      <c r="B13" s="3" t="s">
        <v>25</v>
      </c>
      <c r="C13" s="3" t="s">
        <v>22</v>
      </c>
      <c r="D13" t="s">
        <v>560</v>
      </c>
    </row>
    <row r="14" spans="1:4" ht="41" customHeight="1">
      <c r="A14" t="s">
        <v>78</v>
      </c>
      <c r="B14" s="3" t="s">
        <v>26</v>
      </c>
      <c r="C14" s="3" t="s">
        <v>22</v>
      </c>
      <c r="D14" t="s">
        <v>559</v>
      </c>
    </row>
    <row r="15" spans="1:4" ht="41" customHeight="1">
      <c r="A15" t="s">
        <v>78</v>
      </c>
      <c r="B15" s="3" t="s">
        <v>27</v>
      </c>
      <c r="C15" s="3" t="s">
        <v>22</v>
      </c>
      <c r="D15" t="s">
        <v>558</v>
      </c>
    </row>
    <row r="16" spans="1:4" ht="41" customHeight="1">
      <c r="A16" t="s">
        <v>78</v>
      </c>
      <c r="B16" s="3" t="s">
        <v>28</v>
      </c>
      <c r="C16" s="3" t="s">
        <v>22</v>
      </c>
      <c r="D16" t="s">
        <v>561</v>
      </c>
    </row>
    <row r="17" spans="1:4" ht="41" customHeight="1">
      <c r="A17" t="s">
        <v>78</v>
      </c>
      <c r="B17" s="3" t="s">
        <v>29</v>
      </c>
      <c r="C17" s="3" t="s">
        <v>22</v>
      </c>
      <c r="D17" t="s">
        <v>556</v>
      </c>
    </row>
    <row r="18" spans="1:4" ht="41" customHeight="1">
      <c r="A18" t="s">
        <v>78</v>
      </c>
      <c r="B18" s="3" t="s">
        <v>30</v>
      </c>
      <c r="C18" s="3" t="s">
        <v>22</v>
      </c>
      <c r="D18" t="s">
        <v>559</v>
      </c>
    </row>
    <row r="19" spans="1:4" ht="41" customHeight="1">
      <c r="A19" t="s">
        <v>78</v>
      </c>
      <c r="B19" s="3" t="s">
        <v>31</v>
      </c>
      <c r="C19" s="3" t="s">
        <v>22</v>
      </c>
      <c r="D19" t="s">
        <v>559</v>
      </c>
    </row>
    <row r="20" spans="1:4" ht="41" customHeight="1">
      <c r="A20" t="s">
        <v>78</v>
      </c>
      <c r="B20" s="3" t="s">
        <v>32</v>
      </c>
      <c r="C20" s="3" t="s">
        <v>22</v>
      </c>
      <c r="D20" t="s">
        <v>559</v>
      </c>
    </row>
    <row r="21" spans="1:4" ht="41" customHeight="1">
      <c r="A21" t="s">
        <v>78</v>
      </c>
      <c r="B21" s="3" t="s">
        <v>33</v>
      </c>
      <c r="C21" s="3" t="s">
        <v>34</v>
      </c>
      <c r="D21" t="s">
        <v>563</v>
      </c>
    </row>
    <row r="22" spans="1:4" ht="41" customHeight="1">
      <c r="A22" t="s">
        <v>78</v>
      </c>
      <c r="B22" s="3" t="s">
        <v>35</v>
      </c>
      <c r="C22" s="3" t="s">
        <v>34</v>
      </c>
      <c r="D22" t="s">
        <v>564</v>
      </c>
    </row>
    <row r="23" spans="1:4" ht="41" customHeight="1">
      <c r="A23" t="s">
        <v>78</v>
      </c>
      <c r="B23" s="3" t="s">
        <v>36</v>
      </c>
      <c r="C23" s="3" t="s">
        <v>34</v>
      </c>
      <c r="D23" t="s">
        <v>564</v>
      </c>
    </row>
    <row r="24" spans="1:4" ht="41" customHeight="1">
      <c r="A24" t="s">
        <v>78</v>
      </c>
      <c r="B24" s="3" t="s">
        <v>37</v>
      </c>
      <c r="C24" s="3" t="s">
        <v>34</v>
      </c>
      <c r="D24" t="s">
        <v>565</v>
      </c>
    </row>
    <row r="25" spans="1:4" ht="41" customHeight="1">
      <c r="A25" t="s">
        <v>78</v>
      </c>
      <c r="B25" s="3" t="s">
        <v>38</v>
      </c>
      <c r="C25" s="3" t="s">
        <v>34</v>
      </c>
      <c r="D25" t="s">
        <v>557</v>
      </c>
    </row>
    <row r="26" spans="1:4" ht="41" customHeight="1">
      <c r="A26" t="s">
        <v>78</v>
      </c>
      <c r="B26" s="3" t="s">
        <v>39</v>
      </c>
      <c r="C26" s="3" t="s">
        <v>34</v>
      </c>
      <c r="D26" t="s">
        <v>557</v>
      </c>
    </row>
    <row r="27" spans="1:4" ht="41" customHeight="1">
      <c r="A27" t="s">
        <v>78</v>
      </c>
      <c r="B27" s="3" t="s">
        <v>40</v>
      </c>
      <c r="C27" s="3" t="s">
        <v>34</v>
      </c>
      <c r="D27" t="s">
        <v>557</v>
      </c>
    </row>
    <row r="28" spans="1:4" ht="41" customHeight="1">
      <c r="A28" t="s">
        <v>78</v>
      </c>
      <c r="B28" s="3" t="s">
        <v>41</v>
      </c>
      <c r="C28" s="3" t="s">
        <v>34</v>
      </c>
      <c r="D28" t="s">
        <v>557</v>
      </c>
    </row>
    <row r="29" spans="1:4" ht="41" customHeight="1">
      <c r="A29" t="s">
        <v>78</v>
      </c>
      <c r="B29" s="3" t="s">
        <v>42</v>
      </c>
      <c r="C29" s="3" t="s">
        <v>34</v>
      </c>
      <c r="D29" t="s">
        <v>557</v>
      </c>
    </row>
    <row r="30" spans="1:4" ht="41" customHeight="1">
      <c r="A30" t="s">
        <v>78</v>
      </c>
      <c r="B30" s="3" t="s">
        <v>43</v>
      </c>
      <c r="C30" s="3" t="s">
        <v>34</v>
      </c>
      <c r="D30" t="s">
        <v>564</v>
      </c>
    </row>
    <row r="31" spans="1:4" ht="41" customHeight="1">
      <c r="A31" t="s">
        <v>78</v>
      </c>
      <c r="B31" s="3" t="s">
        <v>44</v>
      </c>
      <c r="C31" s="3" t="s">
        <v>34</v>
      </c>
      <c r="D31" t="s">
        <v>557</v>
      </c>
    </row>
    <row r="32" spans="1:4" ht="41" customHeight="1">
      <c r="A32" t="s">
        <v>78</v>
      </c>
      <c r="B32" s="3" t="s">
        <v>45</v>
      </c>
      <c r="C32" s="3" t="s">
        <v>34</v>
      </c>
      <c r="D32" t="s">
        <v>557</v>
      </c>
    </row>
    <row r="33" spans="1:4" ht="41" customHeight="1">
      <c r="A33" t="s">
        <v>78</v>
      </c>
      <c r="B33" s="3" t="s">
        <v>46</v>
      </c>
      <c r="C33" s="3" t="s">
        <v>34</v>
      </c>
      <c r="D33" t="s">
        <v>557</v>
      </c>
    </row>
    <row r="34" spans="1:4" ht="41" customHeight="1">
      <c r="A34" t="s">
        <v>78</v>
      </c>
      <c r="B34" s="3" t="s">
        <v>47</v>
      </c>
      <c r="C34" s="3" t="s">
        <v>34</v>
      </c>
      <c r="D34" t="s">
        <v>557</v>
      </c>
    </row>
    <row r="35" spans="1:4" ht="41" customHeight="1">
      <c r="A35" t="s">
        <v>78</v>
      </c>
      <c r="B35" s="3" t="s">
        <v>48</v>
      </c>
      <c r="C35" s="3" t="s">
        <v>34</v>
      </c>
      <c r="D35" t="s">
        <v>557</v>
      </c>
    </row>
    <row r="36" spans="1:4" ht="41" customHeight="1">
      <c r="A36" t="s">
        <v>78</v>
      </c>
      <c r="B36" s="3" t="s">
        <v>49</v>
      </c>
      <c r="C36" s="3" t="s">
        <v>34</v>
      </c>
      <c r="D36" t="s">
        <v>557</v>
      </c>
    </row>
    <row r="37" spans="1:4" ht="41" customHeight="1">
      <c r="A37" t="s">
        <v>78</v>
      </c>
      <c r="B37" s="3" t="s">
        <v>50</v>
      </c>
      <c r="C37" s="3" t="s">
        <v>34</v>
      </c>
      <c r="D37" t="s">
        <v>564</v>
      </c>
    </row>
    <row r="38" spans="1:4" ht="41" customHeight="1">
      <c r="A38" t="s">
        <v>78</v>
      </c>
      <c r="B38" s="3" t="s">
        <v>51</v>
      </c>
      <c r="C38" s="3" t="s">
        <v>34</v>
      </c>
      <c r="D38" t="s">
        <v>557</v>
      </c>
    </row>
    <row r="39" spans="1:4" ht="41" customHeight="1">
      <c r="A39" t="s">
        <v>78</v>
      </c>
      <c r="B39" s="3" t="s">
        <v>52</v>
      </c>
      <c r="C39" s="3" t="s">
        <v>34</v>
      </c>
      <c r="D39" t="s">
        <v>564</v>
      </c>
    </row>
    <row r="40" spans="1:4" ht="41" customHeight="1">
      <c r="A40" t="s">
        <v>78</v>
      </c>
      <c r="B40" s="3" t="s">
        <v>53</v>
      </c>
      <c r="C40" s="3" t="s">
        <v>34</v>
      </c>
      <c r="D40" t="s">
        <v>564</v>
      </c>
    </row>
    <row r="41" spans="1:4" ht="59.5" customHeight="1">
      <c r="A41" t="s">
        <v>78</v>
      </c>
      <c r="B41" s="3" t="s">
        <v>54</v>
      </c>
      <c r="C41" s="3" t="s">
        <v>34</v>
      </c>
      <c r="D41" t="s">
        <v>566</v>
      </c>
    </row>
    <row r="42" spans="1:4" ht="41" customHeight="1">
      <c r="A42" t="s">
        <v>78</v>
      </c>
      <c r="B42" s="3" t="s">
        <v>55</v>
      </c>
      <c r="C42" s="3" t="s">
        <v>34</v>
      </c>
      <c r="D42" t="s">
        <v>557</v>
      </c>
    </row>
    <row r="43" spans="1:4" ht="41" customHeight="1">
      <c r="A43" t="s">
        <v>78</v>
      </c>
      <c r="B43" s="3" t="s">
        <v>56</v>
      </c>
      <c r="C43" s="3" t="s">
        <v>34</v>
      </c>
      <c r="D43" t="s">
        <v>557</v>
      </c>
    </row>
    <row r="44" spans="1:4" ht="41" customHeight="1">
      <c r="A44" t="s">
        <v>78</v>
      </c>
      <c r="B44" s="3" t="s">
        <v>57</v>
      </c>
      <c r="C44" s="3" t="s">
        <v>34</v>
      </c>
      <c r="D44" t="s">
        <v>619</v>
      </c>
    </row>
    <row r="45" spans="1:4" ht="41" customHeight="1">
      <c r="A45" t="s">
        <v>78</v>
      </c>
      <c r="B45" s="3" t="s">
        <v>58</v>
      </c>
      <c r="C45" s="3" t="s">
        <v>34</v>
      </c>
      <c r="D45" t="s">
        <v>619</v>
      </c>
    </row>
    <row r="46" spans="1:4" ht="41" customHeight="1">
      <c r="A46" t="s">
        <v>78</v>
      </c>
      <c r="B46" s="3" t="s">
        <v>59</v>
      </c>
      <c r="C46" s="3" t="s">
        <v>34</v>
      </c>
      <c r="D46" t="s">
        <v>557</v>
      </c>
    </row>
    <row r="47" spans="1:4" ht="41" customHeight="1">
      <c r="A47" t="s">
        <v>78</v>
      </c>
      <c r="B47" s="3" t="s">
        <v>60</v>
      </c>
      <c r="C47" s="3" t="s">
        <v>34</v>
      </c>
      <c r="D47" t="s">
        <v>564</v>
      </c>
    </row>
    <row r="48" spans="1:4" ht="41" customHeight="1">
      <c r="A48" t="s">
        <v>78</v>
      </c>
      <c r="B48" s="3" t="s">
        <v>61</v>
      </c>
      <c r="C48" s="3" t="s">
        <v>34</v>
      </c>
      <c r="D48" t="s">
        <v>557</v>
      </c>
    </row>
    <row r="49" spans="1:4" ht="41" customHeight="1">
      <c r="A49" t="s">
        <v>78</v>
      </c>
      <c r="B49" s="3" t="s">
        <v>62</v>
      </c>
      <c r="C49" s="3" t="s">
        <v>34</v>
      </c>
      <c r="D49" t="s">
        <v>557</v>
      </c>
    </row>
    <row r="50" spans="1:4" ht="41" customHeight="1">
      <c r="A50" t="s">
        <v>78</v>
      </c>
      <c r="B50" s="3" t="s">
        <v>63</v>
      </c>
      <c r="C50" s="3" t="s">
        <v>34</v>
      </c>
      <c r="D50" t="s">
        <v>557</v>
      </c>
    </row>
    <row r="51" spans="1:4" ht="41" customHeight="1">
      <c r="A51" t="s">
        <v>78</v>
      </c>
      <c r="B51" s="3" t="s">
        <v>64</v>
      </c>
      <c r="C51" s="3" t="s">
        <v>34</v>
      </c>
      <c r="D51" t="s">
        <v>564</v>
      </c>
    </row>
    <row r="52" spans="1:4" ht="41" customHeight="1">
      <c r="A52" t="s">
        <v>78</v>
      </c>
      <c r="B52" s="3" t="s">
        <v>65</v>
      </c>
      <c r="C52" s="3" t="s">
        <v>34</v>
      </c>
      <c r="D52" t="s">
        <v>557</v>
      </c>
    </row>
    <row r="53" spans="1:4" ht="41" customHeight="1">
      <c r="A53" t="s">
        <v>78</v>
      </c>
      <c r="B53" s="3" t="s">
        <v>66</v>
      </c>
      <c r="C53" s="3" t="s">
        <v>34</v>
      </c>
      <c r="D53" t="s">
        <v>557</v>
      </c>
    </row>
    <row r="54" spans="1:4" ht="41" customHeight="1">
      <c r="A54" t="s">
        <v>78</v>
      </c>
      <c r="B54" s="3" t="s">
        <v>67</v>
      </c>
      <c r="C54" s="3" t="s">
        <v>34</v>
      </c>
      <c r="D54" t="s">
        <v>564</v>
      </c>
    </row>
    <row r="55" spans="1:4" ht="41" customHeight="1">
      <c r="A55" t="s">
        <v>78</v>
      </c>
      <c r="B55" s="3" t="s">
        <v>68</v>
      </c>
      <c r="C55" s="3" t="s">
        <v>34</v>
      </c>
      <c r="D55" t="s">
        <v>564</v>
      </c>
    </row>
    <row r="56" spans="1:4" ht="41" customHeight="1">
      <c r="A56" t="s">
        <v>78</v>
      </c>
      <c r="B56" s="3" t="s">
        <v>69</v>
      </c>
      <c r="C56" s="3" t="s">
        <v>34</v>
      </c>
      <c r="D56" t="s">
        <v>557</v>
      </c>
    </row>
    <row r="57" spans="1:4" ht="41" customHeight="1">
      <c r="A57" t="s">
        <v>78</v>
      </c>
      <c r="B57" s="3" t="s">
        <v>70</v>
      </c>
      <c r="C57" s="3" t="s">
        <v>34</v>
      </c>
      <c r="D57" t="s">
        <v>557</v>
      </c>
    </row>
    <row r="58" spans="1:4" ht="41" customHeight="1">
      <c r="A58" t="s">
        <v>78</v>
      </c>
      <c r="B58" s="3" t="s">
        <v>71</v>
      </c>
      <c r="C58" s="3" t="s">
        <v>34</v>
      </c>
      <c r="D58" t="s">
        <v>557</v>
      </c>
    </row>
    <row r="59" spans="1:4" ht="41" customHeight="1">
      <c r="A59" t="s">
        <v>78</v>
      </c>
      <c r="B59" s="3" t="s">
        <v>72</v>
      </c>
      <c r="C59" s="3" t="s">
        <v>34</v>
      </c>
      <c r="D59" t="s">
        <v>564</v>
      </c>
    </row>
    <row r="60" spans="1:4" ht="41" customHeight="1">
      <c r="A60" t="s">
        <v>78</v>
      </c>
      <c r="B60" s="3" t="s">
        <v>73</v>
      </c>
      <c r="C60" s="3" t="s">
        <v>34</v>
      </c>
      <c r="D60" t="s">
        <v>557</v>
      </c>
    </row>
    <row r="61" spans="1:4" ht="41" customHeight="1">
      <c r="A61" t="s">
        <v>78</v>
      </c>
      <c r="B61" s="3" t="s">
        <v>74</v>
      </c>
      <c r="C61" s="3" t="s">
        <v>34</v>
      </c>
      <c r="D61" t="s">
        <v>557</v>
      </c>
    </row>
    <row r="62" spans="1:4" ht="41" customHeight="1">
      <c r="A62" t="s">
        <v>78</v>
      </c>
      <c r="B62" s="3" t="s">
        <v>75</v>
      </c>
      <c r="C62" s="3" t="s">
        <v>34</v>
      </c>
      <c r="D62" t="s">
        <v>557</v>
      </c>
    </row>
    <row r="63" spans="1:4" ht="41" customHeight="1">
      <c r="A63" t="s">
        <v>78</v>
      </c>
      <c r="B63" s="3" t="s">
        <v>76</v>
      </c>
      <c r="C63" s="3" t="s">
        <v>34</v>
      </c>
      <c r="D63" t="s">
        <v>557</v>
      </c>
    </row>
    <row r="64" spans="1:4" ht="41" customHeight="1">
      <c r="A64" t="s">
        <v>78</v>
      </c>
      <c r="B64" s="3" t="s">
        <v>77</v>
      </c>
      <c r="C64" s="3" t="s">
        <v>34</v>
      </c>
      <c r="D64" t="s">
        <v>557</v>
      </c>
    </row>
    <row r="65" spans="1:2" ht="41" customHeight="1">
      <c r="A65" t="s">
        <v>641</v>
      </c>
      <c r="B65">
        <v>60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988C0-E71F-4851-8DAA-6D6248C41FD9}">
  <dimension ref="A1:D7"/>
  <sheetViews>
    <sheetView topLeftCell="B1" zoomScaleNormal="100" workbookViewId="0">
      <selection activeCell="B9" sqref="B9"/>
    </sheetView>
  </sheetViews>
  <sheetFormatPr defaultColWidth="25" defaultRowHeight="29" customHeight="1"/>
  <cols>
    <col min="2" max="3" width="41.58203125" customWidth="1"/>
    <col min="4" max="4" width="33.75" customWidth="1"/>
  </cols>
  <sheetData>
    <row r="1" spans="1:4" ht="29" customHeight="1">
      <c r="A1" s="2" t="s">
        <v>726</v>
      </c>
      <c r="B1" s="3" t="s">
        <v>727</v>
      </c>
      <c r="C1" s="3" t="s">
        <v>728</v>
      </c>
      <c r="D1" s="1" t="s">
        <v>729</v>
      </c>
    </row>
    <row r="2" spans="1:4" ht="29" customHeight="1">
      <c r="A2" s="2">
        <v>2.4</v>
      </c>
      <c r="B2" s="3" t="s">
        <v>731</v>
      </c>
    </row>
    <row r="3" spans="1:4" ht="29" customHeight="1">
      <c r="A3" s="2">
        <v>2.5</v>
      </c>
      <c r="B3" s="3" t="s">
        <v>731</v>
      </c>
    </row>
    <row r="4" spans="1:4" ht="29" customHeight="1">
      <c r="A4" s="2" t="s">
        <v>79</v>
      </c>
      <c r="B4" s="3" t="s">
        <v>731</v>
      </c>
    </row>
    <row r="5" spans="1:4" ht="29" customHeight="1">
      <c r="A5" s="2" t="s">
        <v>80</v>
      </c>
      <c r="B5" s="3" t="s">
        <v>731</v>
      </c>
    </row>
    <row r="6" spans="1:4" ht="29" customHeight="1">
      <c r="A6" s="2" t="s">
        <v>81</v>
      </c>
      <c r="B6" s="3" t="s">
        <v>731</v>
      </c>
    </row>
    <row r="7" spans="1:4" ht="29" customHeight="1">
      <c r="A7" s="6" t="s">
        <v>641</v>
      </c>
      <c r="B7">
        <v>0</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012FC-8167-4008-9D7F-E0567A040D39}">
  <dimension ref="A1:D7"/>
  <sheetViews>
    <sheetView zoomScale="85" zoomScaleNormal="85" workbookViewId="0">
      <selection activeCell="F1" sqref="F1:T1"/>
    </sheetView>
  </sheetViews>
  <sheetFormatPr defaultColWidth="18.83203125" defaultRowHeight="29" customHeight="1"/>
  <cols>
    <col min="2" max="3" width="44.83203125" customWidth="1"/>
    <col min="4" max="4" width="24.5" customWidth="1"/>
  </cols>
  <sheetData>
    <row r="1" spans="1:4" ht="29" customHeight="1">
      <c r="A1" s="2" t="s">
        <v>726</v>
      </c>
      <c r="B1" s="3" t="s">
        <v>727</v>
      </c>
      <c r="C1" s="3" t="s">
        <v>728</v>
      </c>
      <c r="D1" s="1" t="s">
        <v>729</v>
      </c>
    </row>
    <row r="2" spans="1:4" ht="29" customHeight="1">
      <c r="A2" s="2" t="s">
        <v>82</v>
      </c>
      <c r="B2" s="3" t="s">
        <v>731</v>
      </c>
    </row>
    <row r="3" spans="1:4" ht="29" customHeight="1">
      <c r="A3" s="6" t="s">
        <v>552</v>
      </c>
      <c r="B3" s="3" t="s">
        <v>731</v>
      </c>
    </row>
    <row r="4" spans="1:4" ht="56">
      <c r="A4" s="2" t="s">
        <v>83</v>
      </c>
      <c r="B4" s="3" t="s">
        <v>84</v>
      </c>
      <c r="D4" t="s">
        <v>657</v>
      </c>
    </row>
    <row r="5" spans="1:4" ht="29" customHeight="1">
      <c r="A5" s="2" t="s">
        <v>85</v>
      </c>
      <c r="B5" s="3" t="s">
        <v>731</v>
      </c>
    </row>
    <row r="6" spans="1:4" ht="29" customHeight="1">
      <c r="A6" s="2" t="s">
        <v>86</v>
      </c>
      <c r="B6" s="3" t="s">
        <v>731</v>
      </c>
    </row>
    <row r="7" spans="1:4" ht="29" customHeight="1">
      <c r="A7" s="6" t="s">
        <v>641</v>
      </c>
      <c r="B7">
        <v>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55CDD-A054-4A09-A273-F5D0E9A506DC}">
  <dimension ref="A1:D7"/>
  <sheetViews>
    <sheetView topLeftCell="D1" zoomScaleNormal="100" workbookViewId="0">
      <selection activeCell="G4" sqref="G4"/>
    </sheetView>
  </sheetViews>
  <sheetFormatPr defaultColWidth="25.83203125" defaultRowHeight="33" customHeight="1"/>
  <cols>
    <col min="1" max="1" width="6.4140625" customWidth="1"/>
    <col min="2" max="2" width="45" customWidth="1"/>
    <col min="3" max="3" width="24.83203125" customWidth="1"/>
    <col min="4" max="4" width="36" customWidth="1"/>
  </cols>
  <sheetData>
    <row r="1" spans="1:4" ht="33" customHeight="1">
      <c r="A1" s="2" t="s">
        <v>726</v>
      </c>
      <c r="B1" s="3" t="s">
        <v>727</v>
      </c>
      <c r="C1" s="3" t="s">
        <v>728</v>
      </c>
      <c r="D1" s="1" t="s">
        <v>729</v>
      </c>
    </row>
    <row r="2" spans="1:4" ht="33" customHeight="1">
      <c r="A2" s="2" t="s">
        <v>87</v>
      </c>
      <c r="B2" s="3" t="s">
        <v>88</v>
      </c>
      <c r="D2" t="s">
        <v>567</v>
      </c>
    </row>
    <row r="3" spans="1:4" ht="33" customHeight="1">
      <c r="A3" s="2" t="s">
        <v>89</v>
      </c>
      <c r="B3" s="3" t="s">
        <v>90</v>
      </c>
      <c r="D3" t="s">
        <v>568</v>
      </c>
    </row>
    <row r="4" spans="1:4" ht="56">
      <c r="A4" s="2" t="s">
        <v>91</v>
      </c>
      <c r="B4" s="3" t="s">
        <v>92</v>
      </c>
      <c r="D4" t="s">
        <v>656</v>
      </c>
    </row>
    <row r="5" spans="1:4" ht="33" customHeight="1">
      <c r="A5" s="2" t="s">
        <v>93</v>
      </c>
      <c r="B5" s="3" t="s">
        <v>731</v>
      </c>
    </row>
    <row r="6" spans="1:4" ht="33" customHeight="1">
      <c r="A6" s="2" t="s">
        <v>94</v>
      </c>
      <c r="B6" s="3" t="s">
        <v>731</v>
      </c>
    </row>
    <row r="7" spans="1:4" ht="33" customHeight="1">
      <c r="A7" s="6" t="s">
        <v>642</v>
      </c>
      <c r="B7">
        <v>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EC47-E9A0-4122-A55F-784AE7F56668}">
  <dimension ref="A1:D12"/>
  <sheetViews>
    <sheetView zoomScale="85" zoomScaleNormal="85" workbookViewId="0">
      <selection activeCell="C9" sqref="C9"/>
    </sheetView>
  </sheetViews>
  <sheetFormatPr defaultRowHeight="32" customHeight="1"/>
  <cols>
    <col min="1" max="1" width="18.08203125" style="1" customWidth="1"/>
    <col min="2" max="2" width="53.4140625" style="1" customWidth="1"/>
    <col min="3" max="3" width="26.1640625" style="1" customWidth="1"/>
    <col min="4" max="4" width="25.9140625" style="1" customWidth="1"/>
    <col min="5" max="16384" width="8.6640625" style="1"/>
  </cols>
  <sheetData>
    <row r="1" spans="1:4" ht="32" customHeight="1">
      <c r="A1" s="2" t="s">
        <v>726</v>
      </c>
      <c r="B1" s="3" t="s">
        <v>727</v>
      </c>
      <c r="C1" s="3" t="s">
        <v>728</v>
      </c>
      <c r="D1" s="1" t="s">
        <v>729</v>
      </c>
    </row>
    <row r="2" spans="1:4" ht="28">
      <c r="A2" s="1" t="s">
        <v>16</v>
      </c>
      <c r="B2" s="3" t="s">
        <v>95</v>
      </c>
      <c r="C2" s="3" t="s">
        <v>96</v>
      </c>
      <c r="D2" s="1" t="s">
        <v>558</v>
      </c>
    </row>
    <row r="3" spans="1:4" ht="42">
      <c r="A3" s="1" t="s">
        <v>16</v>
      </c>
      <c r="B3" s="3" t="s">
        <v>102</v>
      </c>
      <c r="C3" s="3" t="s">
        <v>96</v>
      </c>
      <c r="D3" s="1" t="s">
        <v>559</v>
      </c>
    </row>
    <row r="4" spans="1:4" ht="32" customHeight="1">
      <c r="A4" s="1" t="s">
        <v>16</v>
      </c>
      <c r="B4" s="3" t="s">
        <v>97</v>
      </c>
      <c r="C4" s="3" t="s">
        <v>96</v>
      </c>
      <c r="D4" s="1" t="s">
        <v>558</v>
      </c>
    </row>
    <row r="5" spans="1:4" ht="32" customHeight="1">
      <c r="A5" s="1" t="s">
        <v>16</v>
      </c>
      <c r="B5" s="3" t="s">
        <v>98</v>
      </c>
      <c r="C5" s="3" t="s">
        <v>99</v>
      </c>
      <c r="D5" s="1" t="s">
        <v>557</v>
      </c>
    </row>
    <row r="6" spans="1:4" ht="32" customHeight="1">
      <c r="A6" s="1" t="s">
        <v>16</v>
      </c>
      <c r="B6" s="3" t="s">
        <v>100</v>
      </c>
      <c r="C6" s="3" t="s">
        <v>99</v>
      </c>
      <c r="D6" s="1" t="s">
        <v>557</v>
      </c>
    </row>
    <row r="7" spans="1:4" ht="132.5" customHeight="1">
      <c r="A7" s="1" t="s">
        <v>16</v>
      </c>
      <c r="B7" s="3" t="s">
        <v>101</v>
      </c>
      <c r="C7" s="3" t="s">
        <v>99</v>
      </c>
      <c r="D7" s="1" t="s">
        <v>569</v>
      </c>
    </row>
    <row r="8" spans="1:4" ht="32" customHeight="1">
      <c r="A8" s="2" t="s">
        <v>103</v>
      </c>
      <c r="B8" s="3" t="s">
        <v>731</v>
      </c>
    </row>
    <row r="9" spans="1:4" ht="32" customHeight="1">
      <c r="A9" s="2" t="s">
        <v>104</v>
      </c>
      <c r="B9" s="3" t="s">
        <v>731</v>
      </c>
    </row>
    <row r="10" spans="1:4" ht="32" customHeight="1">
      <c r="A10" s="2" t="s">
        <v>105</v>
      </c>
      <c r="B10" s="3" t="s">
        <v>731</v>
      </c>
    </row>
    <row r="11" spans="1:4" ht="32" customHeight="1">
      <c r="A11" s="2" t="s">
        <v>106</v>
      </c>
      <c r="B11" s="3" t="s">
        <v>731</v>
      </c>
    </row>
    <row r="12" spans="1:4" ht="32" customHeight="1">
      <c r="A12" s="1" t="s">
        <v>641</v>
      </c>
      <c r="B12" s="1">
        <v>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F81A-2F58-43D0-9EE3-CBCED6F68E69}">
  <dimension ref="A1:D7"/>
  <sheetViews>
    <sheetView workbookViewId="0">
      <selection activeCell="F1" sqref="F1:T1"/>
    </sheetView>
  </sheetViews>
  <sheetFormatPr defaultColWidth="21.25" defaultRowHeight="31" customHeight="1"/>
  <cols>
    <col min="2" max="3" width="53.83203125" customWidth="1"/>
  </cols>
  <sheetData>
    <row r="1" spans="1:4" ht="31" customHeight="1">
      <c r="A1" s="2" t="s">
        <v>726</v>
      </c>
      <c r="B1" s="3" t="s">
        <v>727</v>
      </c>
      <c r="C1" s="3" t="s">
        <v>728</v>
      </c>
      <c r="D1" s="1" t="s">
        <v>729</v>
      </c>
    </row>
    <row r="2" spans="1:4" ht="31" customHeight="1">
      <c r="A2" s="2" t="s">
        <v>107</v>
      </c>
      <c r="B2" s="3" t="s">
        <v>731</v>
      </c>
      <c r="C2" s="3"/>
    </row>
    <row r="3" spans="1:4" ht="31" customHeight="1">
      <c r="A3" s="2" t="s">
        <v>108</v>
      </c>
      <c r="B3" s="3" t="s">
        <v>731</v>
      </c>
      <c r="C3" s="3"/>
    </row>
    <row r="4" spans="1:4" ht="42">
      <c r="A4" s="2" t="s">
        <v>109</v>
      </c>
      <c r="B4" s="3" t="s">
        <v>110</v>
      </c>
      <c r="C4" s="3" t="s">
        <v>111</v>
      </c>
      <c r="D4" t="s">
        <v>564</v>
      </c>
    </row>
    <row r="5" spans="1:4" ht="31" customHeight="1">
      <c r="A5" s="2" t="s">
        <v>112</v>
      </c>
      <c r="B5" s="3" t="s">
        <v>731</v>
      </c>
      <c r="C5" s="3"/>
    </row>
    <row r="6" spans="1:4" ht="31" customHeight="1">
      <c r="A6" s="6" t="s">
        <v>551</v>
      </c>
      <c r="B6" s="3" t="s">
        <v>731</v>
      </c>
    </row>
    <row r="7" spans="1:4" ht="31" customHeight="1">
      <c r="A7" s="6" t="s">
        <v>641</v>
      </c>
      <c r="B7">
        <v>1</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4917-B007-4CB4-8869-920C7753DE25}">
  <dimension ref="A1:D9"/>
  <sheetViews>
    <sheetView zoomScale="70" zoomScaleNormal="70" workbookViewId="0">
      <selection activeCell="C27" sqref="C27"/>
    </sheetView>
  </sheetViews>
  <sheetFormatPr defaultColWidth="20.6640625" defaultRowHeight="32.5" customHeight="1"/>
  <cols>
    <col min="1" max="1" width="6.25" style="1" customWidth="1"/>
    <col min="2" max="2" width="69.08203125" style="1" customWidth="1"/>
    <col min="3" max="3" width="18.75" style="1" customWidth="1"/>
    <col min="4" max="4" width="20.6640625" style="1"/>
    <col min="5" max="5" width="49.6640625" style="1" customWidth="1"/>
    <col min="6" max="16384" width="20.6640625" style="1"/>
  </cols>
  <sheetData>
    <row r="1" spans="1:4" ht="32.5" customHeight="1">
      <c r="A1" s="2" t="s">
        <v>726</v>
      </c>
      <c r="B1" s="3" t="s">
        <v>727</v>
      </c>
      <c r="C1" s="3" t="s">
        <v>728</v>
      </c>
      <c r="D1" s="1" t="s">
        <v>729</v>
      </c>
    </row>
    <row r="2" spans="1:4" ht="32.5" customHeight="1">
      <c r="A2" s="1">
        <v>0.8</v>
      </c>
      <c r="B2" s="3" t="s">
        <v>731</v>
      </c>
      <c r="C2" s="3"/>
    </row>
    <row r="3" spans="1:4" ht="14">
      <c r="A3" s="1" t="s">
        <v>116</v>
      </c>
      <c r="B3" s="3" t="s">
        <v>731</v>
      </c>
      <c r="C3" s="3"/>
    </row>
    <row r="4" spans="1:4" ht="32.5" customHeight="1">
      <c r="A4" s="1" t="s">
        <v>117</v>
      </c>
      <c r="B4" s="3" t="s">
        <v>731</v>
      </c>
      <c r="C4" s="3"/>
    </row>
    <row r="5" spans="1:4" ht="32.5" customHeight="1">
      <c r="A5" s="1" t="s">
        <v>118</v>
      </c>
      <c r="B5" s="3" t="s">
        <v>731</v>
      </c>
      <c r="C5" s="3"/>
    </row>
    <row r="6" spans="1:4" ht="50.5" customHeight="1">
      <c r="A6" s="1" t="s">
        <v>119</v>
      </c>
      <c r="B6" s="3" t="s">
        <v>114</v>
      </c>
      <c r="C6" s="3" t="s">
        <v>113</v>
      </c>
      <c r="D6" s="1" t="s">
        <v>571</v>
      </c>
    </row>
    <row r="7" spans="1:4" ht="32.5" customHeight="1">
      <c r="A7" s="1" t="s">
        <v>119</v>
      </c>
      <c r="B7" s="3" t="s">
        <v>115</v>
      </c>
      <c r="C7" s="3" t="s">
        <v>113</v>
      </c>
      <c r="D7" s="1" t="s">
        <v>558</v>
      </c>
    </row>
    <row r="8" spans="1:4" ht="42">
      <c r="A8" s="1" t="s">
        <v>119</v>
      </c>
      <c r="B8" s="3" t="s">
        <v>572</v>
      </c>
      <c r="C8" s="3" t="s">
        <v>113</v>
      </c>
      <c r="D8" s="1" t="s">
        <v>607</v>
      </c>
    </row>
    <row r="9" spans="1:4" ht="32.5" customHeight="1">
      <c r="A9" s="1" t="s">
        <v>641</v>
      </c>
      <c r="B9" s="1">
        <v>3</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97B86-D169-4963-AF30-B46683184E74}">
  <dimension ref="A1:D182"/>
  <sheetViews>
    <sheetView topLeftCell="A166" zoomScale="85" zoomScaleNormal="85" workbookViewId="0">
      <selection activeCell="E172" sqref="E172"/>
    </sheetView>
  </sheetViews>
  <sheetFormatPr defaultColWidth="25.4140625" defaultRowHeight="14"/>
  <cols>
    <col min="1" max="1" width="18.9140625" style="1" customWidth="1"/>
    <col min="2" max="2" width="64.83203125" customWidth="1"/>
    <col min="3" max="3" width="14" customWidth="1"/>
    <col min="4" max="4" width="51.58203125" customWidth="1"/>
  </cols>
  <sheetData>
    <row r="1" spans="1:4">
      <c r="A1" s="2" t="s">
        <v>726</v>
      </c>
      <c r="B1" s="3" t="s">
        <v>727</v>
      </c>
      <c r="C1" s="3" t="s">
        <v>728</v>
      </c>
      <c r="D1" s="1" t="s">
        <v>729</v>
      </c>
    </row>
    <row r="2" spans="1:4" ht="42">
      <c r="A2" s="1">
        <v>0.99</v>
      </c>
      <c r="B2" s="3" t="s">
        <v>120</v>
      </c>
      <c r="C2" s="3" t="s">
        <v>121</v>
      </c>
      <c r="D2" t="s">
        <v>573</v>
      </c>
    </row>
    <row r="3" spans="1:4" ht="42">
      <c r="A3" s="1">
        <v>0.99</v>
      </c>
      <c r="B3" s="3" t="s">
        <v>122</v>
      </c>
      <c r="C3" s="3" t="s">
        <v>123</v>
      </c>
      <c r="D3" t="s">
        <v>556</v>
      </c>
    </row>
    <row r="4" spans="1:4" ht="28">
      <c r="A4" s="1">
        <v>2.2000000000000002</v>
      </c>
      <c r="B4" s="3" t="s">
        <v>124</v>
      </c>
      <c r="C4" s="3" t="s">
        <v>22</v>
      </c>
      <c r="D4" t="s">
        <v>556</v>
      </c>
    </row>
    <row r="5" spans="1:4">
      <c r="A5" s="1">
        <v>2.2000000000000002</v>
      </c>
      <c r="B5" s="3" t="s">
        <v>125</v>
      </c>
      <c r="C5" s="3" t="s">
        <v>22</v>
      </c>
      <c r="D5" t="s">
        <v>556</v>
      </c>
    </row>
    <row r="6" spans="1:4">
      <c r="A6" s="1">
        <v>2.2000000000000002</v>
      </c>
      <c r="B6" s="3" t="s">
        <v>126</v>
      </c>
      <c r="C6" s="3" t="s">
        <v>22</v>
      </c>
      <c r="D6" t="s">
        <v>556</v>
      </c>
    </row>
    <row r="7" spans="1:4" ht="42">
      <c r="A7" s="1">
        <v>2.2000000000000002</v>
      </c>
      <c r="B7" s="3" t="s">
        <v>127</v>
      </c>
      <c r="C7" s="3" t="s">
        <v>22</v>
      </c>
      <c r="D7" t="s">
        <v>556</v>
      </c>
    </row>
    <row r="8" spans="1:4" ht="28">
      <c r="A8" s="1">
        <v>2.2000000000000002</v>
      </c>
      <c r="B8" s="3" t="s">
        <v>128</v>
      </c>
      <c r="C8" s="3" t="s">
        <v>22</v>
      </c>
      <c r="D8" t="s">
        <v>574</v>
      </c>
    </row>
    <row r="9" spans="1:4" ht="28">
      <c r="A9" s="1">
        <v>2.2000000000000002</v>
      </c>
      <c r="B9" s="3" t="s">
        <v>129</v>
      </c>
      <c r="C9" s="3" t="s">
        <v>22</v>
      </c>
      <c r="D9" t="s">
        <v>559</v>
      </c>
    </row>
    <row r="10" spans="1:4" ht="28">
      <c r="A10" s="1">
        <v>2.2000000000000002</v>
      </c>
      <c r="B10" s="3" t="s">
        <v>130</v>
      </c>
      <c r="C10" s="3" t="s">
        <v>131</v>
      </c>
      <c r="D10" t="s">
        <v>557</v>
      </c>
    </row>
    <row r="11" spans="1:4">
      <c r="A11" s="1">
        <v>2.2000000000000002</v>
      </c>
      <c r="B11" s="3" t="s">
        <v>132</v>
      </c>
      <c r="C11" s="3" t="s">
        <v>131</v>
      </c>
      <c r="D11" t="s">
        <v>557</v>
      </c>
    </row>
    <row r="12" spans="1:4" ht="42">
      <c r="A12" s="1">
        <v>2.2000000000000002</v>
      </c>
      <c r="B12" s="3" t="s">
        <v>133</v>
      </c>
      <c r="C12" s="3" t="s">
        <v>131</v>
      </c>
      <c r="D12" t="s">
        <v>557</v>
      </c>
    </row>
    <row r="13" spans="1:4" ht="28">
      <c r="A13" s="1">
        <v>2.2000000000000002</v>
      </c>
      <c r="B13" s="3" t="s">
        <v>134</v>
      </c>
      <c r="C13" s="3" t="s">
        <v>131</v>
      </c>
      <c r="D13" t="s">
        <v>557</v>
      </c>
    </row>
    <row r="14" spans="1:4" ht="28">
      <c r="A14" s="1">
        <v>2.2000000000000002</v>
      </c>
      <c r="B14" s="3" t="s">
        <v>135</v>
      </c>
      <c r="C14" s="3" t="s">
        <v>131</v>
      </c>
      <c r="D14" t="s">
        <v>557</v>
      </c>
    </row>
    <row r="15" spans="1:4" ht="56">
      <c r="A15" s="1">
        <v>2.2000000000000002</v>
      </c>
      <c r="B15" s="3" t="s">
        <v>136</v>
      </c>
      <c r="C15" s="3" t="s">
        <v>131</v>
      </c>
      <c r="D15" t="s">
        <v>564</v>
      </c>
    </row>
    <row r="16" spans="1:4" ht="126">
      <c r="A16" s="1">
        <v>2.2000000000000002</v>
      </c>
      <c r="B16" s="3" t="s">
        <v>137</v>
      </c>
      <c r="C16" s="3" t="s">
        <v>138</v>
      </c>
      <c r="D16" t="s">
        <v>565</v>
      </c>
    </row>
    <row r="17" spans="1:4" ht="56">
      <c r="A17" s="1">
        <v>2.2000000000000002</v>
      </c>
      <c r="B17" s="3" t="s">
        <v>139</v>
      </c>
      <c r="C17" s="3" t="s">
        <v>138</v>
      </c>
      <c r="D17" t="s">
        <v>577</v>
      </c>
    </row>
    <row r="18" spans="1:4" ht="70">
      <c r="A18" s="1">
        <v>3.2</v>
      </c>
      <c r="B18" s="3" t="s">
        <v>140</v>
      </c>
      <c r="C18" s="3" t="s">
        <v>141</v>
      </c>
      <c r="D18" t="s">
        <v>559</v>
      </c>
    </row>
    <row r="19" spans="1:4" ht="42">
      <c r="A19" s="1">
        <v>3.2</v>
      </c>
      <c r="B19" s="3" t="s">
        <v>142</v>
      </c>
      <c r="C19" s="3" t="s">
        <v>22</v>
      </c>
      <c r="D19" t="s">
        <v>571</v>
      </c>
    </row>
    <row r="20" spans="1:4" ht="70">
      <c r="A20" s="1">
        <v>3.2</v>
      </c>
      <c r="B20" s="3" t="s">
        <v>143</v>
      </c>
      <c r="C20" s="3" t="s">
        <v>22</v>
      </c>
      <c r="D20" t="s">
        <v>571</v>
      </c>
    </row>
    <row r="21" spans="1:4">
      <c r="A21" s="1">
        <v>3.2</v>
      </c>
      <c r="B21" s="3" t="s">
        <v>144</v>
      </c>
      <c r="C21" s="3" t="s">
        <v>22</v>
      </c>
      <c r="D21" t="s">
        <v>556</v>
      </c>
    </row>
    <row r="22" spans="1:4">
      <c r="A22" s="1">
        <v>3.2</v>
      </c>
      <c r="B22" s="3" t="s">
        <v>145</v>
      </c>
      <c r="C22" s="3" t="s">
        <v>22</v>
      </c>
      <c r="D22" t="s">
        <v>559</v>
      </c>
    </row>
    <row r="23" spans="1:4" ht="28">
      <c r="A23" s="1">
        <v>3.2</v>
      </c>
      <c r="B23" s="3" t="s">
        <v>146</v>
      </c>
      <c r="C23" s="3" t="s">
        <v>22</v>
      </c>
      <c r="D23" t="s">
        <v>575</v>
      </c>
    </row>
    <row r="24" spans="1:4">
      <c r="A24" s="1">
        <v>3.2</v>
      </c>
      <c r="B24" s="3" t="s">
        <v>147</v>
      </c>
      <c r="C24" s="3" t="s">
        <v>22</v>
      </c>
      <c r="D24" t="s">
        <v>556</v>
      </c>
    </row>
    <row r="25" spans="1:4" ht="28">
      <c r="A25" s="1">
        <v>3.2</v>
      </c>
      <c r="B25" s="3" t="s">
        <v>148</v>
      </c>
      <c r="C25" s="3" t="s">
        <v>22</v>
      </c>
      <c r="D25" t="s">
        <v>576</v>
      </c>
    </row>
    <row r="26" spans="1:4" ht="56">
      <c r="A26" s="1">
        <v>3.2</v>
      </c>
      <c r="B26" s="3" t="s">
        <v>149</v>
      </c>
      <c r="C26" s="3" t="s">
        <v>22</v>
      </c>
      <c r="D26" t="s">
        <v>577</v>
      </c>
    </row>
    <row r="27" spans="1:4" ht="28">
      <c r="A27" s="1">
        <v>3.2</v>
      </c>
      <c r="B27" s="3" t="s">
        <v>150</v>
      </c>
      <c r="C27" s="3" t="s">
        <v>22</v>
      </c>
      <c r="D27" t="s">
        <v>556</v>
      </c>
    </row>
    <row r="28" spans="1:4" ht="42">
      <c r="A28" s="1">
        <v>3.2</v>
      </c>
      <c r="B28" s="3" t="s">
        <v>151</v>
      </c>
      <c r="C28" s="3" t="s">
        <v>22</v>
      </c>
      <c r="D28" t="s">
        <v>556</v>
      </c>
    </row>
    <row r="29" spans="1:4" ht="28">
      <c r="A29" s="1">
        <v>3.2</v>
      </c>
      <c r="B29" s="3" t="s">
        <v>152</v>
      </c>
      <c r="C29" s="3" t="s">
        <v>22</v>
      </c>
      <c r="D29" t="s">
        <v>559</v>
      </c>
    </row>
    <row r="30" spans="1:4" ht="28">
      <c r="A30" s="1">
        <v>3.2</v>
      </c>
      <c r="B30" s="3" t="s">
        <v>153</v>
      </c>
      <c r="C30" s="3" t="s">
        <v>22</v>
      </c>
      <c r="D30" t="s">
        <v>556</v>
      </c>
    </row>
    <row r="31" spans="1:4" ht="42">
      <c r="A31" s="1">
        <v>3.2</v>
      </c>
      <c r="B31" s="3" t="s">
        <v>154</v>
      </c>
      <c r="C31" s="3" t="s">
        <v>22</v>
      </c>
      <c r="D31" t="s">
        <v>556</v>
      </c>
    </row>
    <row r="32" spans="1:4">
      <c r="A32" s="1">
        <v>3.2</v>
      </c>
      <c r="B32" s="3" t="s">
        <v>155</v>
      </c>
      <c r="C32" s="3" t="s">
        <v>22</v>
      </c>
      <c r="D32" t="s">
        <v>556</v>
      </c>
    </row>
    <row r="33" spans="1:4">
      <c r="A33" s="1">
        <v>3.2</v>
      </c>
      <c r="B33" s="3" t="s">
        <v>156</v>
      </c>
      <c r="C33" s="3" t="s">
        <v>22</v>
      </c>
      <c r="D33" t="s">
        <v>556</v>
      </c>
    </row>
    <row r="34" spans="1:4" ht="28">
      <c r="A34" s="1">
        <v>3.2</v>
      </c>
      <c r="B34" s="3" t="s">
        <v>157</v>
      </c>
      <c r="C34" s="3" t="s">
        <v>22</v>
      </c>
      <c r="D34" t="s">
        <v>556</v>
      </c>
    </row>
    <row r="35" spans="1:4">
      <c r="A35" s="1">
        <v>3.2</v>
      </c>
      <c r="B35" s="3" t="s">
        <v>158</v>
      </c>
      <c r="C35" s="3" t="s">
        <v>22</v>
      </c>
      <c r="D35" t="s">
        <v>556</v>
      </c>
    </row>
    <row r="36" spans="1:4">
      <c r="A36" s="1">
        <v>3.2</v>
      </c>
      <c r="B36" s="3" t="s">
        <v>159</v>
      </c>
      <c r="C36" s="3" t="s">
        <v>22</v>
      </c>
      <c r="D36" t="s">
        <v>556</v>
      </c>
    </row>
    <row r="37" spans="1:4">
      <c r="A37" s="1">
        <v>3.2</v>
      </c>
      <c r="B37" s="3" t="s">
        <v>160</v>
      </c>
      <c r="C37" s="3" t="s">
        <v>22</v>
      </c>
      <c r="D37" t="s">
        <v>556</v>
      </c>
    </row>
    <row r="38" spans="1:4" ht="42">
      <c r="A38" s="1">
        <v>3.2</v>
      </c>
      <c r="B38" s="3" t="s">
        <v>161</v>
      </c>
      <c r="C38" s="3" t="s">
        <v>22</v>
      </c>
      <c r="D38" t="s">
        <v>556</v>
      </c>
    </row>
    <row r="39" spans="1:4" ht="28">
      <c r="A39" s="1">
        <v>3.2</v>
      </c>
      <c r="B39" s="3" t="s">
        <v>162</v>
      </c>
      <c r="C39" s="3" t="s">
        <v>22</v>
      </c>
      <c r="D39" t="s">
        <v>556</v>
      </c>
    </row>
    <row r="40" spans="1:4">
      <c r="A40" s="1">
        <v>3.2</v>
      </c>
      <c r="B40" s="3" t="s">
        <v>163</v>
      </c>
      <c r="C40" s="3" t="s">
        <v>22</v>
      </c>
      <c r="D40" t="s">
        <v>556</v>
      </c>
    </row>
    <row r="41" spans="1:4">
      <c r="A41" s="1">
        <v>3.2</v>
      </c>
      <c r="B41" s="3" t="s">
        <v>164</v>
      </c>
      <c r="C41" s="3" t="s">
        <v>22</v>
      </c>
      <c r="D41" t="s">
        <v>556</v>
      </c>
    </row>
    <row r="42" spans="1:4" ht="28">
      <c r="A42" s="1">
        <v>3.2</v>
      </c>
      <c r="B42" s="3" t="s">
        <v>165</v>
      </c>
      <c r="C42" s="3" t="s">
        <v>22</v>
      </c>
      <c r="D42" t="s">
        <v>556</v>
      </c>
    </row>
    <row r="43" spans="1:4" ht="28">
      <c r="A43" s="1">
        <v>3.2</v>
      </c>
      <c r="B43" s="3" t="s">
        <v>166</v>
      </c>
      <c r="C43" s="3" t="s">
        <v>22</v>
      </c>
      <c r="D43" t="s">
        <v>571</v>
      </c>
    </row>
    <row r="44" spans="1:4" ht="28">
      <c r="A44" s="1">
        <v>3.2</v>
      </c>
      <c r="B44" s="3" t="s">
        <v>167</v>
      </c>
      <c r="C44" s="3" t="s">
        <v>22</v>
      </c>
      <c r="D44" t="s">
        <v>559</v>
      </c>
    </row>
    <row r="45" spans="1:4">
      <c r="A45" s="1">
        <v>3.2</v>
      </c>
      <c r="B45" s="3" t="s">
        <v>168</v>
      </c>
      <c r="C45" s="3" t="s">
        <v>22</v>
      </c>
      <c r="D45" t="s">
        <v>556</v>
      </c>
    </row>
    <row r="46" spans="1:4" ht="28">
      <c r="A46" s="1">
        <v>3.2</v>
      </c>
      <c r="B46" s="3" t="s">
        <v>169</v>
      </c>
      <c r="C46" s="3" t="s">
        <v>22</v>
      </c>
      <c r="D46" t="s">
        <v>556</v>
      </c>
    </row>
    <row r="47" spans="1:4" ht="28">
      <c r="A47" s="1">
        <v>3.2</v>
      </c>
      <c r="B47" s="3" t="s">
        <v>170</v>
      </c>
      <c r="C47" s="3" t="s">
        <v>22</v>
      </c>
      <c r="D47" t="s">
        <v>556</v>
      </c>
    </row>
    <row r="48" spans="1:4" ht="42">
      <c r="A48" s="1">
        <v>3.2</v>
      </c>
      <c r="B48" s="3" t="s">
        <v>171</v>
      </c>
      <c r="C48" s="3" t="s">
        <v>22</v>
      </c>
      <c r="D48" t="s">
        <v>556</v>
      </c>
    </row>
    <row r="49" spans="1:4" ht="28">
      <c r="A49" s="1">
        <v>3.2</v>
      </c>
      <c r="B49" s="3" t="s">
        <v>172</v>
      </c>
      <c r="C49" s="3" t="s">
        <v>22</v>
      </c>
      <c r="D49" t="s">
        <v>578</v>
      </c>
    </row>
    <row r="50" spans="1:4" ht="28">
      <c r="A50" s="1">
        <v>3.2</v>
      </c>
      <c r="B50" s="3" t="s">
        <v>173</v>
      </c>
      <c r="C50" s="3" t="s">
        <v>22</v>
      </c>
      <c r="D50" t="s">
        <v>559</v>
      </c>
    </row>
    <row r="51" spans="1:4" ht="42">
      <c r="A51" s="1">
        <v>3.2</v>
      </c>
      <c r="B51" s="3" t="s">
        <v>174</v>
      </c>
      <c r="C51" s="3" t="s">
        <v>22</v>
      </c>
      <c r="D51" t="s">
        <v>556</v>
      </c>
    </row>
    <row r="52" spans="1:4">
      <c r="A52" s="1">
        <v>3.2</v>
      </c>
      <c r="B52" s="3" t="s">
        <v>175</v>
      </c>
      <c r="C52" s="3" t="s">
        <v>22</v>
      </c>
      <c r="D52" t="s">
        <v>556</v>
      </c>
    </row>
    <row r="53" spans="1:4">
      <c r="A53" s="1">
        <v>3.2</v>
      </c>
      <c r="B53" s="3" t="s">
        <v>176</v>
      </c>
      <c r="C53" s="3" t="s">
        <v>22</v>
      </c>
      <c r="D53" t="s">
        <v>556</v>
      </c>
    </row>
    <row r="54" spans="1:4">
      <c r="A54" s="1">
        <v>3.2</v>
      </c>
      <c r="B54" s="3" t="s">
        <v>177</v>
      </c>
      <c r="C54" s="3" t="s">
        <v>22</v>
      </c>
      <c r="D54" t="s">
        <v>579</v>
      </c>
    </row>
    <row r="55" spans="1:4">
      <c r="A55" s="1">
        <v>3.2</v>
      </c>
      <c r="B55" s="3" t="s">
        <v>178</v>
      </c>
      <c r="C55" s="3" t="s">
        <v>22</v>
      </c>
      <c r="D55" t="s">
        <v>559</v>
      </c>
    </row>
    <row r="56" spans="1:4" ht="28">
      <c r="A56" s="1">
        <v>3.2</v>
      </c>
      <c r="B56" s="3" t="s">
        <v>179</v>
      </c>
      <c r="C56" s="3" t="s">
        <v>22</v>
      </c>
      <c r="D56" t="s">
        <v>559</v>
      </c>
    </row>
    <row r="57" spans="1:4">
      <c r="A57" s="1">
        <v>3.2</v>
      </c>
      <c r="B57" s="3" t="s">
        <v>180</v>
      </c>
      <c r="C57" s="3" t="s">
        <v>22</v>
      </c>
      <c r="D57" t="s">
        <v>556</v>
      </c>
    </row>
    <row r="58" spans="1:4" ht="28">
      <c r="A58" s="1">
        <v>3.2</v>
      </c>
      <c r="B58" s="3" t="s">
        <v>181</v>
      </c>
      <c r="C58" s="3" t="s">
        <v>22</v>
      </c>
      <c r="D58" t="s">
        <v>557</v>
      </c>
    </row>
    <row r="59" spans="1:4">
      <c r="A59" s="1">
        <v>3.2</v>
      </c>
      <c r="B59" s="3" t="s">
        <v>182</v>
      </c>
      <c r="C59" s="3" t="s">
        <v>22</v>
      </c>
      <c r="D59" t="s">
        <v>556</v>
      </c>
    </row>
    <row r="60" spans="1:4" ht="28">
      <c r="A60" s="1">
        <v>3.2</v>
      </c>
      <c r="B60" s="3" t="s">
        <v>183</v>
      </c>
      <c r="C60" s="3" t="s">
        <v>22</v>
      </c>
      <c r="D60" t="s">
        <v>559</v>
      </c>
    </row>
    <row r="61" spans="1:4">
      <c r="A61" s="1">
        <v>3.2</v>
      </c>
      <c r="B61" s="3" t="s">
        <v>184</v>
      </c>
      <c r="C61" s="3" t="s">
        <v>22</v>
      </c>
      <c r="D61" t="s">
        <v>556</v>
      </c>
    </row>
    <row r="62" spans="1:4" ht="70">
      <c r="A62" s="1">
        <v>3.2</v>
      </c>
      <c r="B62" s="5" t="s">
        <v>186</v>
      </c>
      <c r="C62" s="3" t="s">
        <v>22</v>
      </c>
      <c r="D62" t="s">
        <v>580</v>
      </c>
    </row>
    <row r="63" spans="1:4" ht="28">
      <c r="A63" s="1">
        <v>3.2</v>
      </c>
      <c r="B63" s="3" t="s">
        <v>185</v>
      </c>
      <c r="C63" s="3" t="s">
        <v>131</v>
      </c>
      <c r="D63" t="s">
        <v>581</v>
      </c>
    </row>
    <row r="64" spans="1:4" ht="409.5">
      <c r="A64" s="1">
        <v>3.2</v>
      </c>
      <c r="B64" s="5" t="s">
        <v>582</v>
      </c>
      <c r="C64" s="3" t="s">
        <v>131</v>
      </c>
      <c r="D64" t="s">
        <v>564</v>
      </c>
    </row>
    <row r="65" spans="1:4" ht="126">
      <c r="A65" s="1">
        <v>3.2</v>
      </c>
      <c r="B65" s="3" t="s">
        <v>187</v>
      </c>
      <c r="C65" s="3" t="s">
        <v>131</v>
      </c>
      <c r="D65" t="s">
        <v>557</v>
      </c>
    </row>
    <row r="66" spans="1:4" ht="56">
      <c r="A66" s="1">
        <v>3.2</v>
      </c>
      <c r="B66" s="3" t="s">
        <v>188</v>
      </c>
      <c r="C66" s="3" t="s">
        <v>131</v>
      </c>
      <c r="D66" t="s">
        <v>565</v>
      </c>
    </row>
    <row r="67" spans="1:4" ht="28">
      <c r="A67" s="1">
        <v>3.2</v>
      </c>
      <c r="B67" s="3" t="s">
        <v>189</v>
      </c>
      <c r="C67" s="3" t="s">
        <v>131</v>
      </c>
      <c r="D67" t="s">
        <v>557</v>
      </c>
    </row>
    <row r="68" spans="1:4" ht="28">
      <c r="A68" s="1">
        <v>3.5</v>
      </c>
      <c r="B68" s="3" t="s">
        <v>190</v>
      </c>
      <c r="C68" s="3" t="s">
        <v>22</v>
      </c>
      <c r="D68" t="s">
        <v>583</v>
      </c>
    </row>
    <row r="69" spans="1:4">
      <c r="A69" s="1">
        <v>3.5</v>
      </c>
      <c r="B69" s="3" t="s">
        <v>191</v>
      </c>
      <c r="C69" s="3" t="s">
        <v>22</v>
      </c>
      <c r="D69" t="s">
        <v>556</v>
      </c>
    </row>
    <row r="70" spans="1:4">
      <c r="A70" s="1">
        <v>3.5</v>
      </c>
      <c r="B70" s="3" t="s">
        <v>192</v>
      </c>
      <c r="C70" s="3" t="s">
        <v>22</v>
      </c>
      <c r="D70" t="s">
        <v>584</v>
      </c>
    </row>
    <row r="71" spans="1:4">
      <c r="A71" s="1">
        <v>3.5</v>
      </c>
      <c r="B71" s="3" t="s">
        <v>193</v>
      </c>
      <c r="C71" s="3" t="s">
        <v>22</v>
      </c>
      <c r="D71" t="s">
        <v>584</v>
      </c>
    </row>
    <row r="72" spans="1:4">
      <c r="A72" s="1">
        <v>3.5</v>
      </c>
      <c r="B72" s="3" t="s">
        <v>194</v>
      </c>
      <c r="C72" s="3" t="s">
        <v>22</v>
      </c>
      <c r="D72" t="s">
        <v>584</v>
      </c>
    </row>
    <row r="73" spans="1:4">
      <c r="A73" s="1">
        <v>3.5</v>
      </c>
      <c r="B73" s="3" t="s">
        <v>195</v>
      </c>
      <c r="C73" s="3" t="s">
        <v>22</v>
      </c>
      <c r="D73" t="s">
        <v>584</v>
      </c>
    </row>
    <row r="74" spans="1:4">
      <c r="A74" s="1">
        <v>3.5</v>
      </c>
      <c r="B74" s="3" t="s">
        <v>196</v>
      </c>
      <c r="C74" s="3" t="s">
        <v>22</v>
      </c>
      <c r="D74" t="s">
        <v>584</v>
      </c>
    </row>
    <row r="75" spans="1:4">
      <c r="A75" s="1">
        <v>3.5</v>
      </c>
      <c r="B75" s="3" t="s">
        <v>197</v>
      </c>
      <c r="C75" s="3" t="s">
        <v>22</v>
      </c>
      <c r="D75" t="s">
        <v>584</v>
      </c>
    </row>
    <row r="76" spans="1:4">
      <c r="A76" s="1">
        <v>3.5</v>
      </c>
      <c r="B76" s="3" t="s">
        <v>198</v>
      </c>
      <c r="C76" s="3" t="s">
        <v>22</v>
      </c>
      <c r="D76" t="s">
        <v>584</v>
      </c>
    </row>
    <row r="77" spans="1:4">
      <c r="A77" s="1">
        <v>3.5</v>
      </c>
      <c r="B77" s="3" t="s">
        <v>199</v>
      </c>
      <c r="C77" s="3" t="s">
        <v>22</v>
      </c>
      <c r="D77" t="s">
        <v>584</v>
      </c>
    </row>
    <row r="78" spans="1:4" ht="28">
      <c r="A78" s="1">
        <v>3.5</v>
      </c>
      <c r="B78" s="3" t="s">
        <v>200</v>
      </c>
      <c r="C78" s="3" t="s">
        <v>22</v>
      </c>
      <c r="D78" t="s">
        <v>556</v>
      </c>
    </row>
    <row r="79" spans="1:4">
      <c r="A79" s="1">
        <v>3.5</v>
      </c>
      <c r="B79" s="3" t="s">
        <v>201</v>
      </c>
      <c r="C79" s="3" t="s">
        <v>22</v>
      </c>
      <c r="D79" t="s">
        <v>559</v>
      </c>
    </row>
    <row r="80" spans="1:4">
      <c r="A80" s="1">
        <v>3.5</v>
      </c>
      <c r="B80" s="3" t="s">
        <v>202</v>
      </c>
      <c r="C80" s="3" t="s">
        <v>22</v>
      </c>
      <c r="D80" t="s">
        <v>559</v>
      </c>
    </row>
    <row r="81" spans="1:4" ht="28">
      <c r="A81" s="1">
        <v>3.5</v>
      </c>
      <c r="B81" s="3" t="s">
        <v>203</v>
      </c>
      <c r="C81" s="3" t="s">
        <v>22</v>
      </c>
      <c r="D81" t="s">
        <v>559</v>
      </c>
    </row>
    <row r="82" spans="1:4">
      <c r="A82" s="1">
        <v>3.5</v>
      </c>
      <c r="B82" s="3" t="s">
        <v>192</v>
      </c>
      <c r="C82" s="3" t="s">
        <v>22</v>
      </c>
      <c r="D82" t="s">
        <v>584</v>
      </c>
    </row>
    <row r="83" spans="1:4">
      <c r="A83" s="1">
        <v>3.5</v>
      </c>
      <c r="B83" s="3" t="s">
        <v>194</v>
      </c>
      <c r="C83" s="3" t="s">
        <v>22</v>
      </c>
      <c r="D83" t="s">
        <v>584</v>
      </c>
    </row>
    <row r="84" spans="1:4">
      <c r="A84" s="1">
        <v>3.5</v>
      </c>
      <c r="B84" s="3" t="s">
        <v>195</v>
      </c>
      <c r="C84" s="3" t="s">
        <v>22</v>
      </c>
      <c r="D84" t="s">
        <v>584</v>
      </c>
    </row>
    <row r="85" spans="1:4">
      <c r="A85" s="1">
        <v>3.5</v>
      </c>
      <c r="B85" s="3" t="s">
        <v>202</v>
      </c>
      <c r="C85" s="3" t="s">
        <v>22</v>
      </c>
      <c r="D85" t="s">
        <v>559</v>
      </c>
    </row>
    <row r="86" spans="1:4">
      <c r="A86" s="1">
        <v>3.5</v>
      </c>
      <c r="B86" s="3" t="s">
        <v>204</v>
      </c>
      <c r="C86" s="3" t="s">
        <v>22</v>
      </c>
      <c r="D86" t="s">
        <v>584</v>
      </c>
    </row>
    <row r="87" spans="1:4">
      <c r="A87" s="1">
        <v>3.5</v>
      </c>
      <c r="B87" s="3" t="s">
        <v>205</v>
      </c>
      <c r="C87" s="3" t="s">
        <v>22</v>
      </c>
      <c r="D87" t="s">
        <v>584</v>
      </c>
    </row>
    <row r="88" spans="1:4">
      <c r="A88" s="1">
        <v>3.5</v>
      </c>
      <c r="B88" s="3" t="s">
        <v>206</v>
      </c>
      <c r="C88" s="3" t="s">
        <v>22</v>
      </c>
      <c r="D88" t="s">
        <v>584</v>
      </c>
    </row>
    <row r="89" spans="1:4">
      <c r="A89" s="1">
        <v>3.5</v>
      </c>
      <c r="B89" s="3" t="s">
        <v>197</v>
      </c>
      <c r="C89" s="3" t="s">
        <v>22</v>
      </c>
      <c r="D89" t="s">
        <v>584</v>
      </c>
    </row>
    <row r="90" spans="1:4">
      <c r="A90" s="1">
        <v>3.5</v>
      </c>
      <c r="B90" s="3" t="s">
        <v>207</v>
      </c>
      <c r="C90" s="3" t="s">
        <v>22</v>
      </c>
      <c r="D90" t="s">
        <v>584</v>
      </c>
    </row>
    <row r="91" spans="1:4">
      <c r="A91" s="1">
        <v>3.5</v>
      </c>
      <c r="B91" s="3" t="s">
        <v>198</v>
      </c>
      <c r="C91" s="3" t="s">
        <v>22</v>
      </c>
      <c r="D91" t="s">
        <v>584</v>
      </c>
    </row>
    <row r="92" spans="1:4" ht="28">
      <c r="A92" s="1">
        <v>3.5</v>
      </c>
      <c r="B92" s="3" t="s">
        <v>208</v>
      </c>
      <c r="C92" s="3" t="s">
        <v>22</v>
      </c>
      <c r="D92" t="s">
        <v>556</v>
      </c>
    </row>
    <row r="93" spans="1:4" ht="42">
      <c r="A93" s="1">
        <v>3.5</v>
      </c>
      <c r="B93" s="3" t="s">
        <v>209</v>
      </c>
      <c r="C93" s="3" t="s">
        <v>22</v>
      </c>
      <c r="D93" t="s">
        <v>559</v>
      </c>
    </row>
    <row r="94" spans="1:4" ht="112">
      <c r="A94" s="1">
        <v>3.5</v>
      </c>
      <c r="B94" s="3" t="s">
        <v>210</v>
      </c>
      <c r="C94" s="3" t="s">
        <v>22</v>
      </c>
      <c r="D94" t="s">
        <v>585</v>
      </c>
    </row>
    <row r="95" spans="1:4" ht="42">
      <c r="A95" s="1">
        <v>3.5</v>
      </c>
      <c r="B95" s="3" t="s">
        <v>211</v>
      </c>
      <c r="C95" s="3" t="s">
        <v>22</v>
      </c>
      <c r="D95" t="s">
        <v>556</v>
      </c>
    </row>
    <row r="96" spans="1:4" ht="28">
      <c r="A96" s="1">
        <v>3.5</v>
      </c>
      <c r="B96" s="3" t="s">
        <v>212</v>
      </c>
      <c r="C96" s="3" t="s">
        <v>22</v>
      </c>
      <c r="D96" t="s">
        <v>556</v>
      </c>
    </row>
    <row r="97" spans="1:4" ht="28">
      <c r="A97" s="1">
        <v>3.5</v>
      </c>
      <c r="B97" s="3" t="s">
        <v>213</v>
      </c>
      <c r="C97" s="3" t="s">
        <v>22</v>
      </c>
      <c r="D97" t="s">
        <v>556</v>
      </c>
    </row>
    <row r="98" spans="1:4">
      <c r="A98" s="1">
        <v>3.5</v>
      </c>
      <c r="B98" s="3" t="s">
        <v>214</v>
      </c>
      <c r="C98" s="3" t="s">
        <v>22</v>
      </c>
      <c r="D98" t="s">
        <v>556</v>
      </c>
    </row>
    <row r="99" spans="1:4" ht="28">
      <c r="A99" s="1">
        <v>3.5</v>
      </c>
      <c r="B99" s="3" t="s">
        <v>215</v>
      </c>
      <c r="C99" s="3" t="s">
        <v>22</v>
      </c>
      <c r="D99" t="s">
        <v>586</v>
      </c>
    </row>
    <row r="100" spans="1:4" ht="42">
      <c r="A100" s="1">
        <v>3.5</v>
      </c>
      <c r="B100" s="3" t="s">
        <v>216</v>
      </c>
      <c r="C100" s="3" t="s">
        <v>22</v>
      </c>
      <c r="D100" t="s">
        <v>559</v>
      </c>
    </row>
    <row r="101" spans="1:4">
      <c r="A101" s="1">
        <v>3.5</v>
      </c>
      <c r="B101" s="3" t="s">
        <v>217</v>
      </c>
      <c r="C101" s="3" t="s">
        <v>22</v>
      </c>
      <c r="D101" t="s">
        <v>559</v>
      </c>
    </row>
    <row r="102" spans="1:4" ht="42">
      <c r="A102" s="1">
        <v>3.5</v>
      </c>
      <c r="B102" s="3" t="s">
        <v>218</v>
      </c>
      <c r="C102" s="3" t="s">
        <v>22</v>
      </c>
      <c r="D102" t="s">
        <v>559</v>
      </c>
    </row>
    <row r="103" spans="1:4">
      <c r="A103" s="1">
        <v>3.5</v>
      </c>
      <c r="B103" s="3" t="s">
        <v>219</v>
      </c>
      <c r="C103" s="3" t="s">
        <v>22</v>
      </c>
      <c r="D103" t="s">
        <v>556</v>
      </c>
    </row>
    <row r="104" spans="1:4">
      <c r="A104" s="1">
        <v>3.5</v>
      </c>
      <c r="B104" s="3" t="s">
        <v>220</v>
      </c>
      <c r="C104" s="3" t="s">
        <v>22</v>
      </c>
      <c r="D104" t="s">
        <v>556</v>
      </c>
    </row>
    <row r="105" spans="1:4">
      <c r="A105" s="1">
        <v>3.5</v>
      </c>
      <c r="B105" s="3" t="s">
        <v>221</v>
      </c>
      <c r="C105" s="3" t="s">
        <v>22</v>
      </c>
      <c r="D105" t="s">
        <v>556</v>
      </c>
    </row>
    <row r="106" spans="1:4" ht="56">
      <c r="A106" s="1">
        <v>3.5</v>
      </c>
      <c r="B106" s="3" t="s">
        <v>222</v>
      </c>
      <c r="C106" s="3" t="s">
        <v>22</v>
      </c>
      <c r="D106" t="s">
        <v>556</v>
      </c>
    </row>
    <row r="107" spans="1:4" ht="28">
      <c r="A107" s="1">
        <v>3.5</v>
      </c>
      <c r="B107" s="3" t="s">
        <v>223</v>
      </c>
      <c r="C107" s="3" t="s">
        <v>22</v>
      </c>
      <c r="D107" t="s">
        <v>556</v>
      </c>
    </row>
    <row r="108" spans="1:4" ht="42">
      <c r="A108" s="1">
        <v>3.5</v>
      </c>
      <c r="B108" s="3" t="s">
        <v>224</v>
      </c>
      <c r="C108" s="3" t="s">
        <v>22</v>
      </c>
      <c r="D108" t="s">
        <v>586</v>
      </c>
    </row>
    <row r="109" spans="1:4" ht="28">
      <c r="A109" s="1">
        <v>3.5</v>
      </c>
      <c r="B109" s="3" t="s">
        <v>225</v>
      </c>
      <c r="C109" s="3" t="s">
        <v>22</v>
      </c>
      <c r="D109" t="s">
        <v>559</v>
      </c>
    </row>
    <row r="110" spans="1:4">
      <c r="A110" s="1">
        <v>3.5</v>
      </c>
      <c r="B110" s="3" t="s">
        <v>226</v>
      </c>
      <c r="C110" s="3" t="s">
        <v>22</v>
      </c>
      <c r="D110" t="s">
        <v>556</v>
      </c>
    </row>
    <row r="111" spans="1:4" ht="28">
      <c r="A111" s="1">
        <v>3.5</v>
      </c>
      <c r="B111" s="3" t="s">
        <v>227</v>
      </c>
      <c r="C111" s="3" t="s">
        <v>22</v>
      </c>
      <c r="D111" t="s">
        <v>556</v>
      </c>
    </row>
    <row r="112" spans="1:4" ht="28">
      <c r="A112" s="1">
        <v>3.5</v>
      </c>
      <c r="B112" s="3" t="s">
        <v>228</v>
      </c>
      <c r="C112" s="3" t="s">
        <v>22</v>
      </c>
      <c r="D112" t="s">
        <v>556</v>
      </c>
    </row>
    <row r="113" spans="1:4" ht="28">
      <c r="A113" s="1">
        <v>3.5</v>
      </c>
      <c r="B113" s="3" t="s">
        <v>229</v>
      </c>
      <c r="C113" s="3" t="s">
        <v>22</v>
      </c>
      <c r="D113" t="s">
        <v>556</v>
      </c>
    </row>
    <row r="114" spans="1:4" ht="42">
      <c r="A114" s="1">
        <v>3.5</v>
      </c>
      <c r="B114" s="3" t="s">
        <v>230</v>
      </c>
      <c r="C114" s="3" t="s">
        <v>22</v>
      </c>
      <c r="D114" t="s">
        <v>586</v>
      </c>
    </row>
    <row r="115" spans="1:4" ht="42">
      <c r="A115" s="1">
        <v>3.5</v>
      </c>
      <c r="B115" s="3" t="s">
        <v>231</v>
      </c>
      <c r="C115" s="3" t="s">
        <v>22</v>
      </c>
      <c r="D115" t="s">
        <v>559</v>
      </c>
    </row>
    <row r="116" spans="1:4">
      <c r="A116" s="1">
        <v>3.5</v>
      </c>
      <c r="B116" s="3" t="s">
        <v>232</v>
      </c>
      <c r="C116" s="3" t="s">
        <v>22</v>
      </c>
      <c r="D116" t="s">
        <v>556</v>
      </c>
    </row>
    <row r="117" spans="1:4">
      <c r="A117" s="1">
        <v>3.5</v>
      </c>
      <c r="B117" s="3" t="s">
        <v>233</v>
      </c>
      <c r="C117" s="3" t="s">
        <v>22</v>
      </c>
      <c r="D117" t="s">
        <v>556</v>
      </c>
    </row>
    <row r="118" spans="1:4">
      <c r="A118" s="1">
        <v>3.5</v>
      </c>
      <c r="B118" s="3" t="s">
        <v>234</v>
      </c>
      <c r="C118" s="3" t="s">
        <v>22</v>
      </c>
      <c r="D118" t="s">
        <v>586</v>
      </c>
    </row>
    <row r="119" spans="1:4" ht="28">
      <c r="A119" s="1">
        <v>3.5</v>
      </c>
      <c r="B119" s="3" t="s">
        <v>235</v>
      </c>
      <c r="C119" s="3" t="s">
        <v>22</v>
      </c>
      <c r="D119" t="s">
        <v>556</v>
      </c>
    </row>
    <row r="120" spans="1:4" ht="28">
      <c r="A120" s="1">
        <v>3.5</v>
      </c>
      <c r="B120" s="3" t="s">
        <v>236</v>
      </c>
      <c r="C120" s="3" t="s">
        <v>22</v>
      </c>
      <c r="D120" t="s">
        <v>556</v>
      </c>
    </row>
    <row r="121" spans="1:4" ht="28">
      <c r="A121" s="1">
        <v>3.5</v>
      </c>
      <c r="B121" s="3" t="s">
        <v>237</v>
      </c>
      <c r="C121" s="3" t="s">
        <v>22</v>
      </c>
      <c r="D121" t="s">
        <v>556</v>
      </c>
    </row>
    <row r="122" spans="1:4">
      <c r="A122" s="1">
        <v>3.5</v>
      </c>
      <c r="B122" s="3" t="s">
        <v>238</v>
      </c>
      <c r="C122" s="3" t="s">
        <v>22</v>
      </c>
      <c r="D122" t="s">
        <v>586</v>
      </c>
    </row>
    <row r="123" spans="1:4" ht="28">
      <c r="A123" s="1">
        <v>3.5</v>
      </c>
      <c r="B123" s="3" t="s">
        <v>239</v>
      </c>
      <c r="C123" s="3" t="s">
        <v>22</v>
      </c>
      <c r="D123" t="s">
        <v>586</v>
      </c>
    </row>
    <row r="124" spans="1:4">
      <c r="A124" s="1">
        <v>3.5</v>
      </c>
      <c r="B124" s="3" t="s">
        <v>240</v>
      </c>
      <c r="C124" s="3" t="s">
        <v>22</v>
      </c>
      <c r="D124" t="s">
        <v>556</v>
      </c>
    </row>
    <row r="125" spans="1:4" ht="28">
      <c r="A125" s="1">
        <v>3.5</v>
      </c>
      <c r="B125" s="3" t="s">
        <v>241</v>
      </c>
      <c r="C125" s="3" t="s">
        <v>22</v>
      </c>
      <c r="D125" t="s">
        <v>559</v>
      </c>
    </row>
    <row r="126" spans="1:4" ht="56">
      <c r="A126" s="1">
        <v>3.5</v>
      </c>
      <c r="B126" s="3" t="s">
        <v>242</v>
      </c>
      <c r="C126" s="3" t="s">
        <v>22</v>
      </c>
      <c r="D126" t="s">
        <v>559</v>
      </c>
    </row>
    <row r="127" spans="1:4" ht="56">
      <c r="A127" s="1">
        <v>3.5</v>
      </c>
      <c r="B127" s="3" t="s">
        <v>243</v>
      </c>
      <c r="C127" s="3" t="s">
        <v>22</v>
      </c>
      <c r="D127" t="s">
        <v>559</v>
      </c>
    </row>
    <row r="128" spans="1:4" ht="112">
      <c r="A128" s="1">
        <v>3.5</v>
      </c>
      <c r="B128" s="3" t="s">
        <v>244</v>
      </c>
      <c r="C128" s="3" t="s">
        <v>131</v>
      </c>
      <c r="D128" t="s">
        <v>587</v>
      </c>
    </row>
    <row r="129" spans="1:4">
      <c r="A129" s="1">
        <v>3.5</v>
      </c>
      <c r="B129" s="3" t="s">
        <v>245</v>
      </c>
      <c r="C129" s="3" t="s">
        <v>131</v>
      </c>
    </row>
    <row r="130" spans="1:4" ht="294">
      <c r="A130" s="1">
        <v>3.5</v>
      </c>
      <c r="B130" s="3" t="s">
        <v>246</v>
      </c>
      <c r="C130" s="3" t="s">
        <v>131</v>
      </c>
      <c r="D130" t="s">
        <v>564</v>
      </c>
    </row>
    <row r="131" spans="1:4" ht="409.5">
      <c r="A131" s="1">
        <v>3.5</v>
      </c>
      <c r="B131" s="3" t="s">
        <v>247</v>
      </c>
      <c r="C131" s="3" t="s">
        <v>131</v>
      </c>
      <c r="D131" t="s">
        <v>564</v>
      </c>
    </row>
    <row r="132" spans="1:4" ht="409.5">
      <c r="A132" s="1">
        <v>3.5</v>
      </c>
      <c r="B132" s="3" t="s">
        <v>248</v>
      </c>
      <c r="C132" s="3" t="s">
        <v>131</v>
      </c>
      <c r="D132" t="s">
        <v>564</v>
      </c>
    </row>
    <row r="133" spans="1:4" ht="42">
      <c r="A133" s="1">
        <v>3.5</v>
      </c>
      <c r="B133" s="3" t="s">
        <v>249</v>
      </c>
      <c r="C133" s="3" t="s">
        <v>131</v>
      </c>
      <c r="D133" t="s">
        <v>564</v>
      </c>
    </row>
    <row r="134" spans="1:4" ht="28">
      <c r="A134" s="1">
        <v>3.5</v>
      </c>
      <c r="B134" s="3" t="s">
        <v>250</v>
      </c>
      <c r="C134" s="3" t="s">
        <v>131</v>
      </c>
      <c r="D134" t="s">
        <v>564</v>
      </c>
    </row>
    <row r="135" spans="1:4">
      <c r="A135" s="1">
        <v>3.5</v>
      </c>
      <c r="B135" s="3" t="s">
        <v>251</v>
      </c>
      <c r="C135" s="3" t="s">
        <v>131</v>
      </c>
      <c r="D135" t="s">
        <v>564</v>
      </c>
    </row>
    <row r="136" spans="1:4" ht="28">
      <c r="A136" s="1">
        <v>3.5</v>
      </c>
      <c r="B136" s="3" t="s">
        <v>252</v>
      </c>
      <c r="C136" s="3" t="s">
        <v>131</v>
      </c>
      <c r="D136" t="s">
        <v>557</v>
      </c>
    </row>
    <row r="137" spans="1:4">
      <c r="A137" s="1">
        <v>3.5</v>
      </c>
      <c r="B137" s="3" t="s">
        <v>253</v>
      </c>
      <c r="C137" s="3" t="s">
        <v>131</v>
      </c>
      <c r="D137" t="s">
        <v>557</v>
      </c>
    </row>
    <row r="138" spans="1:4" ht="28">
      <c r="A138" s="1">
        <v>3.5</v>
      </c>
      <c r="B138" s="3" t="s">
        <v>254</v>
      </c>
      <c r="C138" s="3" t="s">
        <v>131</v>
      </c>
      <c r="D138" t="s">
        <v>564</v>
      </c>
    </row>
    <row r="139" spans="1:4" ht="28">
      <c r="A139" s="1">
        <v>3.5</v>
      </c>
      <c r="B139" s="3" t="s">
        <v>255</v>
      </c>
      <c r="C139" s="3" t="s">
        <v>131</v>
      </c>
      <c r="D139" t="s">
        <v>557</v>
      </c>
    </row>
    <row r="140" spans="1:4">
      <c r="A140" s="1">
        <v>3.5</v>
      </c>
      <c r="B140" s="3" t="s">
        <v>256</v>
      </c>
      <c r="C140" s="3" t="s">
        <v>131</v>
      </c>
      <c r="D140" t="s">
        <v>557</v>
      </c>
    </row>
    <row r="141" spans="1:4">
      <c r="A141" s="1">
        <v>3.5</v>
      </c>
      <c r="B141" s="5" t="s">
        <v>257</v>
      </c>
      <c r="C141" s="3" t="s">
        <v>131</v>
      </c>
      <c r="D141" t="s">
        <v>557</v>
      </c>
    </row>
    <row r="142" spans="1:4" ht="28">
      <c r="A142" s="1">
        <v>3.5</v>
      </c>
      <c r="B142" s="3" t="s">
        <v>258</v>
      </c>
      <c r="C142" s="3" t="s">
        <v>131</v>
      </c>
      <c r="D142" t="s">
        <v>564</v>
      </c>
    </row>
    <row r="143" spans="1:4">
      <c r="A143" s="1">
        <v>3.5</v>
      </c>
      <c r="B143" s="3" t="s">
        <v>259</v>
      </c>
      <c r="C143" s="3" t="s">
        <v>131</v>
      </c>
      <c r="D143" t="s">
        <v>588</v>
      </c>
    </row>
    <row r="144" spans="1:4">
      <c r="A144" s="1">
        <v>3.5</v>
      </c>
      <c r="B144" s="3" t="s">
        <v>260</v>
      </c>
      <c r="C144" s="3" t="s">
        <v>131</v>
      </c>
      <c r="D144" t="s">
        <v>557</v>
      </c>
    </row>
    <row r="145" spans="1:4" ht="322">
      <c r="A145" s="1">
        <v>3.5</v>
      </c>
      <c r="B145" s="5" t="s">
        <v>261</v>
      </c>
      <c r="C145" s="3" t="s">
        <v>131</v>
      </c>
      <c r="D145" t="s">
        <v>619</v>
      </c>
    </row>
    <row r="146" spans="1:4" ht="84">
      <c r="A146" s="1">
        <v>3.6</v>
      </c>
      <c r="B146" s="5" t="s">
        <v>262</v>
      </c>
      <c r="C146" s="3" t="s">
        <v>263</v>
      </c>
      <c r="D146" t="s">
        <v>556</v>
      </c>
    </row>
    <row r="147" spans="1:4" ht="126">
      <c r="A147" s="1">
        <v>3.6</v>
      </c>
      <c r="B147" s="5" t="s">
        <v>264</v>
      </c>
      <c r="C147" s="3" t="s">
        <v>22</v>
      </c>
      <c r="D147" t="s">
        <v>694</v>
      </c>
    </row>
    <row r="148" spans="1:4" ht="238">
      <c r="A148" s="1">
        <v>3.6</v>
      </c>
      <c r="B148" s="5" t="s">
        <v>265</v>
      </c>
      <c r="C148" s="3" t="s">
        <v>22</v>
      </c>
      <c r="D148" t="s">
        <v>589</v>
      </c>
    </row>
    <row r="149" spans="1:4" ht="70">
      <c r="A149" s="1">
        <v>3.6</v>
      </c>
      <c r="B149" s="5" t="s">
        <v>266</v>
      </c>
      <c r="C149" s="3" t="s">
        <v>22</v>
      </c>
      <c r="D149" t="s">
        <v>655</v>
      </c>
    </row>
    <row r="150" spans="1:4" ht="56">
      <c r="A150" s="1">
        <v>3.6</v>
      </c>
      <c r="B150" s="5" t="s">
        <v>267</v>
      </c>
      <c r="C150" s="3" t="s">
        <v>22</v>
      </c>
      <c r="D150" t="s">
        <v>571</v>
      </c>
    </row>
    <row r="151" spans="1:4" ht="84">
      <c r="A151" s="1">
        <v>3.6</v>
      </c>
      <c r="B151" s="5" t="s">
        <v>268</v>
      </c>
      <c r="C151" s="3" t="s">
        <v>22</v>
      </c>
      <c r="D151" t="s">
        <v>696</v>
      </c>
    </row>
    <row r="152" spans="1:4" ht="56">
      <c r="A152" s="1">
        <v>3.6</v>
      </c>
      <c r="B152" s="5" t="s">
        <v>269</v>
      </c>
      <c r="C152" s="3" t="s">
        <v>22</v>
      </c>
      <c r="D152" t="s">
        <v>586</v>
      </c>
    </row>
    <row r="153" spans="1:4" ht="42">
      <c r="A153" s="1">
        <v>3.6</v>
      </c>
      <c r="B153" s="5" t="s">
        <v>270</v>
      </c>
      <c r="C153" s="3" t="s">
        <v>22</v>
      </c>
      <c r="D153" t="s">
        <v>579</v>
      </c>
    </row>
    <row r="154" spans="1:4" ht="42">
      <c r="A154" s="1">
        <v>3.6</v>
      </c>
      <c r="B154" s="15" t="s">
        <v>271</v>
      </c>
      <c r="C154" s="3" t="s">
        <v>22</v>
      </c>
      <c r="D154" t="s">
        <v>590</v>
      </c>
    </row>
    <row r="155" spans="1:4" ht="28">
      <c r="A155" s="1">
        <v>3.6</v>
      </c>
      <c r="B155" s="15" t="s">
        <v>272</v>
      </c>
      <c r="C155" s="3" t="s">
        <v>22</v>
      </c>
      <c r="D155" t="s">
        <v>559</v>
      </c>
    </row>
    <row r="156" spans="1:4" ht="126">
      <c r="A156" s="1">
        <v>3.6</v>
      </c>
      <c r="B156" s="5" t="s">
        <v>273</v>
      </c>
      <c r="C156" s="3" t="s">
        <v>22</v>
      </c>
      <c r="D156" t="s">
        <v>591</v>
      </c>
    </row>
    <row r="157" spans="1:4" ht="42">
      <c r="A157" s="1">
        <v>3.6</v>
      </c>
      <c r="B157" s="5" t="s">
        <v>274</v>
      </c>
      <c r="C157" s="3" t="s">
        <v>22</v>
      </c>
      <c r="D157" t="s">
        <v>559</v>
      </c>
    </row>
    <row r="158" spans="1:4" ht="112">
      <c r="A158" s="1">
        <v>3.6</v>
      </c>
      <c r="B158" s="5" t="s">
        <v>275</v>
      </c>
      <c r="C158" s="3" t="s">
        <v>22</v>
      </c>
      <c r="D158" t="s">
        <v>562</v>
      </c>
    </row>
    <row r="159" spans="1:4" ht="28">
      <c r="A159" s="1">
        <v>3.6</v>
      </c>
      <c r="B159" s="5" t="s">
        <v>276</v>
      </c>
      <c r="C159" s="3" t="s">
        <v>22</v>
      </c>
      <c r="D159" t="s">
        <v>586</v>
      </c>
    </row>
    <row r="160" spans="1:4" ht="28">
      <c r="A160" s="1">
        <v>3.6</v>
      </c>
      <c r="B160" s="5" t="s">
        <v>277</v>
      </c>
      <c r="C160" s="3" t="s">
        <v>22</v>
      </c>
      <c r="D160" t="s">
        <v>559</v>
      </c>
    </row>
    <row r="161" spans="1:4" ht="294">
      <c r="A161" s="1">
        <v>3.6</v>
      </c>
      <c r="B161" s="5" t="s">
        <v>278</v>
      </c>
      <c r="C161" s="3" t="s">
        <v>22</v>
      </c>
      <c r="D161" t="s">
        <v>592</v>
      </c>
    </row>
    <row r="162" spans="1:4" ht="56">
      <c r="A162" s="1">
        <v>3.6</v>
      </c>
      <c r="B162" s="5" t="s">
        <v>279</v>
      </c>
      <c r="C162" s="3" t="s">
        <v>22</v>
      </c>
      <c r="D162" t="s">
        <v>593</v>
      </c>
    </row>
    <row r="163" spans="1:4" ht="409.5">
      <c r="A163" s="1">
        <v>3.6</v>
      </c>
      <c r="B163" s="5" t="s">
        <v>280</v>
      </c>
      <c r="C163" s="3" t="s">
        <v>22</v>
      </c>
      <c r="D163" t="s">
        <v>698</v>
      </c>
    </row>
    <row r="164" spans="1:4" ht="42">
      <c r="A164" s="1">
        <v>3.6</v>
      </c>
      <c r="B164" s="5" t="s">
        <v>281</v>
      </c>
      <c r="C164" s="3" t="s">
        <v>22</v>
      </c>
      <c r="D164" t="s">
        <v>594</v>
      </c>
    </row>
    <row r="165" spans="1:4" ht="42">
      <c r="A165" s="1">
        <v>3.6</v>
      </c>
      <c r="B165" s="5" t="s">
        <v>282</v>
      </c>
      <c r="C165" s="3" t="s">
        <v>22</v>
      </c>
      <c r="D165" t="s">
        <v>595</v>
      </c>
    </row>
    <row r="166" spans="1:4" ht="56">
      <c r="A166" s="1">
        <v>3.6</v>
      </c>
      <c r="B166" s="5" t="s">
        <v>283</v>
      </c>
      <c r="C166" s="3" t="s">
        <v>22</v>
      </c>
      <c r="D166" t="s">
        <v>596</v>
      </c>
    </row>
    <row r="167" spans="1:4" ht="42">
      <c r="A167" s="1">
        <v>3.6</v>
      </c>
      <c r="B167" s="5" t="s">
        <v>284</v>
      </c>
      <c r="C167" s="3" t="s">
        <v>22</v>
      </c>
      <c r="D167" t="s">
        <v>571</v>
      </c>
    </row>
    <row r="168" spans="1:4" ht="70">
      <c r="A168" s="1">
        <v>3.6</v>
      </c>
      <c r="B168" s="5" t="s">
        <v>285</v>
      </c>
      <c r="C168" s="3" t="s">
        <v>22</v>
      </c>
      <c r="D168" t="s">
        <v>697</v>
      </c>
    </row>
    <row r="169" spans="1:4" ht="42">
      <c r="A169" s="1">
        <v>3.6</v>
      </c>
      <c r="B169" s="5" t="s">
        <v>286</v>
      </c>
      <c r="C169" s="3" t="s">
        <v>22</v>
      </c>
      <c r="D169" t="s">
        <v>586</v>
      </c>
    </row>
    <row r="170" spans="1:4" ht="280">
      <c r="A170" s="1">
        <v>3.6</v>
      </c>
      <c r="B170" s="5" t="s">
        <v>287</v>
      </c>
      <c r="C170" s="3" t="s">
        <v>22</v>
      </c>
      <c r="D170" t="s">
        <v>570</v>
      </c>
    </row>
    <row r="171" spans="1:4" ht="42">
      <c r="A171" s="1">
        <v>3.6</v>
      </c>
      <c r="B171" s="5" t="s">
        <v>288</v>
      </c>
      <c r="C171" s="3" t="s">
        <v>296</v>
      </c>
      <c r="D171" t="s">
        <v>564</v>
      </c>
    </row>
    <row r="172" spans="1:4" ht="84">
      <c r="A172" s="1">
        <v>3.6</v>
      </c>
      <c r="B172" s="5" t="s">
        <v>289</v>
      </c>
      <c r="C172" s="3" t="s">
        <v>296</v>
      </c>
      <c r="D172" t="s">
        <v>557</v>
      </c>
    </row>
    <row r="173" spans="1:4" ht="42">
      <c r="A173" s="1">
        <v>3.6</v>
      </c>
      <c r="B173" s="5" t="s">
        <v>290</v>
      </c>
      <c r="C173" s="3" t="s">
        <v>296</v>
      </c>
      <c r="D173" t="s">
        <v>678</v>
      </c>
    </row>
    <row r="174" spans="1:4" ht="28">
      <c r="A174" s="1">
        <v>3.6</v>
      </c>
      <c r="B174" s="5" t="s">
        <v>291</v>
      </c>
      <c r="C174" s="3" t="s">
        <v>296</v>
      </c>
      <c r="D174" t="s">
        <v>597</v>
      </c>
    </row>
    <row r="175" spans="1:4" ht="56">
      <c r="A175" s="1">
        <v>3.6</v>
      </c>
      <c r="B175" s="5" t="s">
        <v>292</v>
      </c>
      <c r="C175" s="3" t="s">
        <v>296</v>
      </c>
      <c r="D175" t="s">
        <v>557</v>
      </c>
    </row>
    <row r="176" spans="1:4" ht="308">
      <c r="A176" s="1">
        <v>3.6</v>
      </c>
      <c r="B176" s="5" t="s">
        <v>293</v>
      </c>
      <c r="C176" s="3" t="s">
        <v>296</v>
      </c>
      <c r="D176" t="s">
        <v>564</v>
      </c>
    </row>
    <row r="177" spans="1:4" ht="196">
      <c r="A177" s="1">
        <v>3.6</v>
      </c>
      <c r="B177" s="5" t="s">
        <v>294</v>
      </c>
      <c r="C177" s="3" t="s">
        <v>296</v>
      </c>
      <c r="D177" t="s">
        <v>564</v>
      </c>
    </row>
    <row r="178" spans="1:4" ht="409.5">
      <c r="A178" s="1">
        <v>3.6</v>
      </c>
      <c r="B178" s="5" t="s">
        <v>679</v>
      </c>
      <c r="C178" s="3" t="s">
        <v>296</v>
      </c>
      <c r="D178" t="s">
        <v>598</v>
      </c>
    </row>
    <row r="179" spans="1:4" ht="210">
      <c r="A179" s="1">
        <v>3.6</v>
      </c>
      <c r="B179" s="5" t="s">
        <v>295</v>
      </c>
      <c r="C179" s="3" t="s">
        <v>296</v>
      </c>
      <c r="D179" t="s">
        <v>564</v>
      </c>
    </row>
    <row r="180" spans="1:4">
      <c r="A180" s="1" t="s">
        <v>641</v>
      </c>
      <c r="B180">
        <v>178</v>
      </c>
    </row>
    <row r="182" spans="1:4">
      <c r="D182" t="s">
        <v>730</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B60C-53BA-4A5D-8E6E-55D40A59C8E1}">
  <dimension ref="A1:D7"/>
  <sheetViews>
    <sheetView zoomScaleNormal="100" workbookViewId="0">
      <selection activeCell="D13" sqref="D13"/>
    </sheetView>
  </sheetViews>
  <sheetFormatPr defaultColWidth="21.4140625" defaultRowHeight="26" customHeight="1"/>
  <cols>
    <col min="1" max="1" width="9" style="5" customWidth="1"/>
    <col min="2" max="2" width="55.1640625" style="5" customWidth="1"/>
    <col min="3" max="3" width="12.08203125" style="5" customWidth="1"/>
    <col min="4" max="16384" width="21.4140625" style="5"/>
  </cols>
  <sheetData>
    <row r="1" spans="1:4" ht="26" customHeight="1">
      <c r="A1" s="4" t="s">
        <v>726</v>
      </c>
      <c r="B1" s="3" t="s">
        <v>727</v>
      </c>
      <c r="C1" s="3" t="s">
        <v>728</v>
      </c>
      <c r="D1" s="3" t="s">
        <v>729</v>
      </c>
    </row>
    <row r="2" spans="1:4" ht="26" customHeight="1">
      <c r="A2" s="5" t="s">
        <v>297</v>
      </c>
      <c r="B2" s="5" t="s">
        <v>298</v>
      </c>
      <c r="C2" s="5" t="s">
        <v>299</v>
      </c>
      <c r="D2" s="5" t="s">
        <v>554</v>
      </c>
    </row>
    <row r="3" spans="1:4" ht="26" customHeight="1">
      <c r="A3" s="5" t="s">
        <v>300</v>
      </c>
      <c r="B3" s="5" t="s">
        <v>731</v>
      </c>
    </row>
    <row r="4" spans="1:4" ht="26" customHeight="1">
      <c r="A4" s="5" t="s">
        <v>301</v>
      </c>
      <c r="B4" s="5" t="s">
        <v>731</v>
      </c>
    </row>
    <row r="5" spans="1:4" ht="26" customHeight="1">
      <c r="A5" s="5" t="s">
        <v>302</v>
      </c>
      <c r="B5" s="5" t="s">
        <v>731</v>
      </c>
    </row>
    <row r="6" spans="1:4" ht="26" customHeight="1">
      <c r="A6" s="5" t="s">
        <v>303</v>
      </c>
      <c r="B6" s="5" t="s">
        <v>731</v>
      </c>
    </row>
    <row r="7" spans="1:4" ht="26" customHeight="1">
      <c r="A7" s="5" t="s">
        <v>641</v>
      </c>
      <c r="B7" s="5">
        <v>1</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CEA4-E39C-4776-9BD9-DE13E12E7BF7}">
  <dimension ref="A1:D7"/>
  <sheetViews>
    <sheetView zoomScaleNormal="100" workbookViewId="0">
      <selection activeCell="D7" sqref="D7"/>
    </sheetView>
  </sheetViews>
  <sheetFormatPr defaultColWidth="25.5" defaultRowHeight="23" customHeight="1"/>
  <cols>
    <col min="1" max="1" width="25.5" style="3"/>
    <col min="2" max="3" width="52.58203125" style="3" customWidth="1"/>
    <col min="4" max="16384" width="25.5" style="3"/>
  </cols>
  <sheetData>
    <row r="1" spans="1:4" ht="23" customHeight="1">
      <c r="A1" s="4" t="s">
        <v>726</v>
      </c>
      <c r="B1" s="3" t="s">
        <v>727</v>
      </c>
      <c r="C1" s="3" t="s">
        <v>728</v>
      </c>
      <c r="D1" s="3" t="s">
        <v>729</v>
      </c>
    </row>
    <row r="2" spans="1:4" ht="42">
      <c r="A2" s="3">
        <v>4.3</v>
      </c>
      <c r="B2" s="3" t="s">
        <v>305</v>
      </c>
      <c r="C2" s="3" t="s">
        <v>304</v>
      </c>
      <c r="D2" s="3" t="s">
        <v>590</v>
      </c>
    </row>
    <row r="3" spans="1:4" ht="23" customHeight="1">
      <c r="A3" s="3">
        <v>4.4000000000000004</v>
      </c>
      <c r="B3" s="3" t="s">
        <v>731</v>
      </c>
    </row>
    <row r="4" spans="1:4" ht="42">
      <c r="A4" s="3">
        <v>4.5</v>
      </c>
      <c r="B4" s="3" t="s">
        <v>306</v>
      </c>
      <c r="C4" s="3" t="s">
        <v>307</v>
      </c>
      <c r="D4" s="3" t="s">
        <v>556</v>
      </c>
    </row>
    <row r="5" spans="1:4" ht="23" customHeight="1">
      <c r="A5" s="3" t="s">
        <v>308</v>
      </c>
      <c r="B5" s="3" t="s">
        <v>731</v>
      </c>
    </row>
    <row r="6" spans="1:4" ht="23" customHeight="1">
      <c r="A6" s="3" t="s">
        <v>309</v>
      </c>
      <c r="B6" s="3" t="s">
        <v>731</v>
      </c>
    </row>
    <row r="7" spans="1:4" ht="23" customHeight="1">
      <c r="A7" s="3" t="s">
        <v>641</v>
      </c>
      <c r="B7" s="3">
        <v>2</v>
      </c>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D797A-F2BE-485B-B188-8C2A65E83A8A}">
  <dimension ref="A1:D7"/>
  <sheetViews>
    <sheetView zoomScaleNormal="100" workbookViewId="0">
      <selection activeCell="D7" sqref="D7"/>
    </sheetView>
  </sheetViews>
  <sheetFormatPr defaultColWidth="20.75" defaultRowHeight="28.5" customHeight="1"/>
  <cols>
    <col min="1" max="1" width="6.33203125" customWidth="1"/>
    <col min="2" max="2" width="56.83203125" customWidth="1"/>
    <col min="3" max="3" width="9.08203125" customWidth="1"/>
    <col min="4" max="4" width="24.5" customWidth="1"/>
  </cols>
  <sheetData>
    <row r="1" spans="1:4" ht="28.5" customHeight="1">
      <c r="A1" s="2" t="s">
        <v>726</v>
      </c>
      <c r="B1" s="3" t="s">
        <v>727</v>
      </c>
      <c r="C1" s="3" t="s">
        <v>728</v>
      </c>
      <c r="D1" s="1" t="s">
        <v>729</v>
      </c>
    </row>
    <row r="2" spans="1:4" ht="28.5" customHeight="1">
      <c r="A2">
        <v>0.26</v>
      </c>
      <c r="B2" t="s">
        <v>731</v>
      </c>
    </row>
    <row r="3" spans="1:4" ht="126">
      <c r="A3">
        <v>1.6</v>
      </c>
      <c r="B3" s="5" t="s">
        <v>310</v>
      </c>
      <c r="D3" t="s">
        <v>557</v>
      </c>
    </row>
    <row r="4" spans="1:4" ht="28.5" customHeight="1">
      <c r="A4" t="s">
        <v>311</v>
      </c>
      <c r="B4" t="s">
        <v>731</v>
      </c>
    </row>
    <row r="5" spans="1:4" ht="28.5" customHeight="1">
      <c r="A5" t="s">
        <v>312</v>
      </c>
      <c r="B5" t="s">
        <v>314</v>
      </c>
      <c r="D5" t="s">
        <v>654</v>
      </c>
    </row>
    <row r="6" spans="1:4" ht="28.5" customHeight="1">
      <c r="A6" t="s">
        <v>313</v>
      </c>
      <c r="B6" s="11" t="s">
        <v>731</v>
      </c>
    </row>
    <row r="7" spans="1:4" ht="28.5" customHeight="1">
      <c r="A7" t="s">
        <v>641</v>
      </c>
      <c r="B7">
        <v>2</v>
      </c>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1FC43-3FBC-4E53-970E-089F6461C656}">
  <dimension ref="A1:D7"/>
  <sheetViews>
    <sheetView workbookViewId="0">
      <selection activeCell="D20" sqref="D20"/>
    </sheetView>
  </sheetViews>
  <sheetFormatPr defaultColWidth="16.75" defaultRowHeight="26" customHeight="1"/>
  <cols>
    <col min="2" max="3" width="54.1640625" customWidth="1"/>
  </cols>
  <sheetData>
    <row r="1" spans="1:4" ht="26" customHeight="1">
      <c r="A1" s="2" t="s">
        <v>726</v>
      </c>
      <c r="B1" s="3" t="s">
        <v>727</v>
      </c>
      <c r="C1" s="3" t="s">
        <v>728</v>
      </c>
      <c r="D1" s="1" t="s">
        <v>729</v>
      </c>
    </row>
    <row r="2" spans="1:4" ht="26" customHeight="1">
      <c r="A2" t="s">
        <v>315</v>
      </c>
      <c r="B2" t="s">
        <v>731</v>
      </c>
    </row>
    <row r="3" spans="1:4" ht="26" customHeight="1">
      <c r="A3" t="s">
        <v>316</v>
      </c>
      <c r="B3" t="s">
        <v>731</v>
      </c>
    </row>
    <row r="4" spans="1:4" ht="26" customHeight="1">
      <c r="A4" t="s">
        <v>317</v>
      </c>
      <c r="B4" t="s">
        <v>731</v>
      </c>
    </row>
    <row r="5" spans="1:4" ht="26" customHeight="1">
      <c r="A5" t="s">
        <v>318</v>
      </c>
      <c r="B5" t="s">
        <v>731</v>
      </c>
    </row>
    <row r="6" spans="1:4" ht="26" customHeight="1">
      <c r="A6" t="s">
        <v>319</v>
      </c>
      <c r="B6" t="s">
        <v>731</v>
      </c>
    </row>
    <row r="7" spans="1:4" ht="26" customHeight="1">
      <c r="A7" t="s">
        <v>643</v>
      </c>
      <c r="B7">
        <v>0</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F02D-A447-4F1B-AF4E-D6B63CE251A1}">
  <dimension ref="A1:E26"/>
  <sheetViews>
    <sheetView topLeftCell="B6" zoomScale="85" zoomScaleNormal="85" workbookViewId="0">
      <selection activeCell="E10" sqref="E10"/>
    </sheetView>
  </sheetViews>
  <sheetFormatPr defaultColWidth="20.9140625" defaultRowHeight="28" customHeight="1"/>
  <cols>
    <col min="1" max="1" width="20.9140625" style="5"/>
    <col min="2" max="2" width="53.83203125" style="5" customWidth="1"/>
    <col min="3" max="3" width="47.25" style="5" customWidth="1"/>
    <col min="4" max="16384" width="20.9140625" style="5"/>
  </cols>
  <sheetData>
    <row r="1" spans="1:5" ht="28" customHeight="1">
      <c r="A1" s="4" t="s">
        <v>726</v>
      </c>
      <c r="B1" s="3" t="s">
        <v>727</v>
      </c>
      <c r="C1" s="3" t="s">
        <v>728</v>
      </c>
      <c r="D1" s="3" t="s">
        <v>729</v>
      </c>
    </row>
    <row r="2" spans="1:5" ht="49" customHeight="1">
      <c r="A2" s="5" t="s">
        <v>320</v>
      </c>
      <c r="B2" s="5" t="s">
        <v>321</v>
      </c>
      <c r="C2" s="5" t="s">
        <v>322</v>
      </c>
      <c r="D2" s="5" t="s">
        <v>565</v>
      </c>
    </row>
    <row r="3" spans="1:5" ht="84">
      <c r="A3" s="5" t="s">
        <v>320</v>
      </c>
      <c r="B3" s="5" t="s">
        <v>323</v>
      </c>
      <c r="C3" s="5" t="s">
        <v>330</v>
      </c>
      <c r="D3" s="5" t="s">
        <v>599</v>
      </c>
    </row>
    <row r="4" spans="1:5" ht="28" customHeight="1">
      <c r="A4" s="5" t="s">
        <v>320</v>
      </c>
      <c r="B4" s="5" t="s">
        <v>324</v>
      </c>
      <c r="C4" s="5" t="s">
        <v>330</v>
      </c>
      <c r="D4" s="5" t="s">
        <v>567</v>
      </c>
    </row>
    <row r="5" spans="1:5" ht="42">
      <c r="A5" s="5" t="s">
        <v>320</v>
      </c>
      <c r="B5" s="5" t="s">
        <v>325</v>
      </c>
      <c r="C5" s="5" t="s">
        <v>330</v>
      </c>
      <c r="D5" s="5" t="s">
        <v>600</v>
      </c>
    </row>
    <row r="6" spans="1:5" ht="28" customHeight="1">
      <c r="A6" s="5" t="s">
        <v>320</v>
      </c>
      <c r="B6" s="5" t="s">
        <v>326</v>
      </c>
      <c r="C6" s="5" t="s">
        <v>330</v>
      </c>
      <c r="D6" s="5" t="s">
        <v>567</v>
      </c>
    </row>
    <row r="7" spans="1:5" ht="28" customHeight="1">
      <c r="A7" s="5" t="s">
        <v>320</v>
      </c>
      <c r="B7" s="5" t="s">
        <v>327</v>
      </c>
      <c r="C7" s="5" t="s">
        <v>330</v>
      </c>
      <c r="D7" s="5" t="s">
        <v>601</v>
      </c>
    </row>
    <row r="8" spans="1:5" ht="28" customHeight="1">
      <c r="A8" s="5" t="s">
        <v>320</v>
      </c>
      <c r="B8" s="9" t="s">
        <v>328</v>
      </c>
      <c r="C8" s="5" t="s">
        <v>330</v>
      </c>
      <c r="D8" s="5" t="s">
        <v>570</v>
      </c>
    </row>
    <row r="9" spans="1:5" ht="86" customHeight="1">
      <c r="A9" s="5" t="s">
        <v>320</v>
      </c>
      <c r="B9" s="9" t="s">
        <v>329</v>
      </c>
      <c r="C9" s="5" t="s">
        <v>330</v>
      </c>
      <c r="D9" s="5" t="s">
        <v>602</v>
      </c>
    </row>
    <row r="10" spans="1:5" ht="28" customHeight="1">
      <c r="A10" s="5" t="s">
        <v>320</v>
      </c>
      <c r="B10" s="5" t="s">
        <v>331</v>
      </c>
      <c r="C10" s="5" t="s">
        <v>337</v>
      </c>
      <c r="D10" s="5" t="s">
        <v>603</v>
      </c>
    </row>
    <row r="11" spans="1:5" ht="28" customHeight="1">
      <c r="A11" s="5" t="s">
        <v>320</v>
      </c>
      <c r="B11" s="5" t="s">
        <v>332</v>
      </c>
      <c r="C11" s="5" t="s">
        <v>336</v>
      </c>
      <c r="D11" s="5" t="s">
        <v>603</v>
      </c>
    </row>
    <row r="12" spans="1:5" ht="62.5" customHeight="1">
      <c r="A12" s="5" t="s">
        <v>320</v>
      </c>
      <c r="B12" s="5" t="s">
        <v>333</v>
      </c>
      <c r="C12" s="5" t="s">
        <v>336</v>
      </c>
      <c r="D12" s="5" t="s">
        <v>652</v>
      </c>
      <c r="E12" s="15"/>
    </row>
    <row r="13" spans="1:5" ht="28" customHeight="1">
      <c r="A13" s="5" t="s">
        <v>320</v>
      </c>
      <c r="B13" s="5" t="s">
        <v>334</v>
      </c>
      <c r="C13" s="5" t="s">
        <v>335</v>
      </c>
      <c r="D13" s="5" t="s">
        <v>564</v>
      </c>
    </row>
    <row r="14" spans="1:5" ht="28" customHeight="1">
      <c r="A14" s="5" t="s">
        <v>338</v>
      </c>
      <c r="B14" s="5" t="s">
        <v>731</v>
      </c>
    </row>
    <row r="15" spans="1:5" ht="28" customHeight="1">
      <c r="A15" s="5" t="s">
        <v>339</v>
      </c>
      <c r="B15" s="9" t="s">
        <v>340</v>
      </c>
      <c r="C15" s="5" t="s">
        <v>344</v>
      </c>
      <c r="D15" s="5" t="s">
        <v>604</v>
      </c>
    </row>
    <row r="16" spans="1:5" ht="28" customHeight="1">
      <c r="A16" s="5" t="s">
        <v>339</v>
      </c>
      <c r="B16" s="5" t="s">
        <v>341</v>
      </c>
      <c r="C16" s="5" t="s">
        <v>344</v>
      </c>
      <c r="D16" s="5" t="s">
        <v>579</v>
      </c>
    </row>
    <row r="17" spans="1:5" ht="28" customHeight="1">
      <c r="A17" s="5" t="s">
        <v>339</v>
      </c>
      <c r="B17" s="5" t="s">
        <v>342</v>
      </c>
      <c r="C17" s="5" t="s">
        <v>344</v>
      </c>
      <c r="D17" s="5" t="s">
        <v>557</v>
      </c>
    </row>
    <row r="18" spans="1:5" ht="142" customHeight="1">
      <c r="A18" s="5" t="s">
        <v>339</v>
      </c>
      <c r="B18" s="9" t="s">
        <v>346</v>
      </c>
      <c r="C18" s="5" t="s">
        <v>345</v>
      </c>
      <c r="D18" s="5" t="s">
        <v>653</v>
      </c>
      <c r="E18" s="15"/>
    </row>
    <row r="19" spans="1:5" ht="70">
      <c r="A19" s="5" t="s">
        <v>347</v>
      </c>
      <c r="B19" s="9" t="s">
        <v>348</v>
      </c>
      <c r="C19" s="5" t="s">
        <v>322</v>
      </c>
      <c r="D19" s="5" t="s">
        <v>553</v>
      </c>
    </row>
    <row r="20" spans="1:5" ht="70">
      <c r="A20" s="5" t="s">
        <v>347</v>
      </c>
      <c r="B20" s="5" t="s">
        <v>349</v>
      </c>
      <c r="C20" s="5" t="s">
        <v>345</v>
      </c>
      <c r="D20" s="5" t="s">
        <v>605</v>
      </c>
    </row>
    <row r="21" spans="1:5" ht="56">
      <c r="A21" s="5" t="s">
        <v>347</v>
      </c>
      <c r="B21" s="9" t="s">
        <v>350</v>
      </c>
      <c r="C21" s="5" t="s">
        <v>345</v>
      </c>
      <c r="D21" s="5" t="s">
        <v>558</v>
      </c>
    </row>
    <row r="22" spans="1:5" ht="56">
      <c r="A22" s="5" t="s">
        <v>347</v>
      </c>
      <c r="B22" s="5" t="s">
        <v>351</v>
      </c>
      <c r="C22" s="5" t="s">
        <v>345</v>
      </c>
      <c r="D22" s="5" t="s">
        <v>558</v>
      </c>
    </row>
    <row r="23" spans="1:5" ht="28" customHeight="1">
      <c r="A23" s="5" t="s">
        <v>352</v>
      </c>
      <c r="B23" s="5" t="s">
        <v>353</v>
      </c>
      <c r="C23" s="5" t="s">
        <v>344</v>
      </c>
      <c r="D23" s="5" t="s">
        <v>579</v>
      </c>
    </row>
    <row r="24" spans="1:5" ht="42">
      <c r="A24" s="5" t="s">
        <v>352</v>
      </c>
      <c r="B24" s="9" t="s">
        <v>354</v>
      </c>
      <c r="C24" s="5" t="s">
        <v>322</v>
      </c>
      <c r="D24" s="5" t="s">
        <v>565</v>
      </c>
    </row>
    <row r="25" spans="1:5" ht="42">
      <c r="A25" s="5" t="s">
        <v>352</v>
      </c>
      <c r="B25" s="9" t="s">
        <v>355</v>
      </c>
      <c r="C25" s="5" t="s">
        <v>345</v>
      </c>
      <c r="D25" s="5" t="s">
        <v>606</v>
      </c>
    </row>
    <row r="26" spans="1:5" ht="28" customHeight="1">
      <c r="A26" s="5" t="s">
        <v>641</v>
      </c>
      <c r="B26" s="5">
        <v>23</v>
      </c>
    </row>
  </sheetData>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55278-F0A2-47A1-B315-25A78C22B2B6}">
  <dimension ref="A1:D7"/>
  <sheetViews>
    <sheetView zoomScale="73" workbookViewId="0">
      <selection activeCell="B7" sqref="B7"/>
    </sheetView>
  </sheetViews>
  <sheetFormatPr defaultColWidth="20.25" defaultRowHeight="30" customHeight="1"/>
  <cols>
    <col min="2" max="3" width="52.33203125" customWidth="1"/>
  </cols>
  <sheetData>
    <row r="1" spans="1:4" ht="30" customHeight="1">
      <c r="A1" s="2" t="s">
        <v>726</v>
      </c>
      <c r="B1" s="3" t="s">
        <v>727</v>
      </c>
      <c r="C1" s="3" t="s">
        <v>728</v>
      </c>
      <c r="D1" s="1" t="s">
        <v>729</v>
      </c>
    </row>
    <row r="2" spans="1:4" ht="30" customHeight="1">
      <c r="A2" t="s">
        <v>356</v>
      </c>
      <c r="B2" t="s">
        <v>731</v>
      </c>
    </row>
    <row r="3" spans="1:4" ht="30" customHeight="1">
      <c r="A3" t="s">
        <v>357</v>
      </c>
      <c r="B3" t="s">
        <v>731</v>
      </c>
    </row>
    <row r="4" spans="1:4" ht="30" customHeight="1">
      <c r="A4" t="s">
        <v>358</v>
      </c>
      <c r="B4" t="s">
        <v>731</v>
      </c>
    </row>
    <row r="5" spans="1:4" ht="30" customHeight="1">
      <c r="A5" t="s">
        <v>359</v>
      </c>
      <c r="B5" t="s">
        <v>731</v>
      </c>
    </row>
    <row r="6" spans="1:4" ht="30" customHeight="1">
      <c r="A6" t="s">
        <v>360</v>
      </c>
      <c r="B6" t="s">
        <v>731</v>
      </c>
    </row>
    <row r="7" spans="1:4" ht="30" customHeight="1">
      <c r="A7" t="s">
        <v>643</v>
      </c>
      <c r="B7">
        <v>0</v>
      </c>
    </row>
  </sheetData>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262A6-FE49-4F39-AEC6-E6AEE08EFD07}">
  <dimension ref="A1:D21"/>
  <sheetViews>
    <sheetView zoomScaleNormal="100" workbookViewId="0">
      <selection activeCell="E10" sqref="E10"/>
    </sheetView>
  </sheetViews>
  <sheetFormatPr defaultColWidth="23.1640625" defaultRowHeight="14"/>
  <cols>
    <col min="1" max="1" width="23.1640625" style="5"/>
    <col min="2" max="2" width="47.08203125" style="5" customWidth="1"/>
    <col min="3" max="3" width="24.1640625" style="5" customWidth="1"/>
    <col min="4" max="16384" width="23.1640625" style="5"/>
  </cols>
  <sheetData>
    <row r="1" spans="1:4">
      <c r="A1" s="4" t="s">
        <v>726</v>
      </c>
      <c r="B1" s="3" t="s">
        <v>727</v>
      </c>
      <c r="C1" s="3" t="s">
        <v>728</v>
      </c>
      <c r="D1" s="3" t="s">
        <v>729</v>
      </c>
    </row>
    <row r="2" spans="1:4">
      <c r="A2" s="5" t="s">
        <v>361</v>
      </c>
      <c r="B2" s="5" t="s">
        <v>731</v>
      </c>
    </row>
    <row r="3" spans="1:4" ht="28">
      <c r="A3" s="5" t="s">
        <v>362</v>
      </c>
      <c r="B3" s="5" t="s">
        <v>363</v>
      </c>
      <c r="D3" s="5" t="s">
        <v>570</v>
      </c>
    </row>
    <row r="4" spans="1:4" ht="28">
      <c r="A4" s="5" t="s">
        <v>362</v>
      </c>
      <c r="B4" s="5" t="s">
        <v>364</v>
      </c>
      <c r="D4" s="5" t="s">
        <v>570</v>
      </c>
    </row>
    <row r="5" spans="1:4" ht="42">
      <c r="A5" s="5" t="s">
        <v>362</v>
      </c>
      <c r="B5" s="5" t="s">
        <v>365</v>
      </c>
      <c r="D5" s="5" t="s">
        <v>607</v>
      </c>
    </row>
    <row r="6" spans="1:4" ht="28">
      <c r="A6" s="5" t="s">
        <v>362</v>
      </c>
      <c r="B6" s="5" t="s">
        <v>366</v>
      </c>
      <c r="D6" s="5" t="s">
        <v>607</v>
      </c>
    </row>
    <row r="7" spans="1:4" ht="262.5" customHeight="1">
      <c r="A7" s="5" t="s">
        <v>362</v>
      </c>
      <c r="B7" s="5" t="s">
        <v>367</v>
      </c>
      <c r="D7" s="5" t="s">
        <v>608</v>
      </c>
    </row>
    <row r="8" spans="1:4" ht="28">
      <c r="A8" s="5" t="s">
        <v>362</v>
      </c>
      <c r="B8" s="5" t="s">
        <v>368</v>
      </c>
      <c r="D8" s="5" t="s">
        <v>609</v>
      </c>
    </row>
    <row r="9" spans="1:4" ht="28">
      <c r="A9" s="5" t="s">
        <v>362</v>
      </c>
      <c r="B9" s="5" t="s">
        <v>369</v>
      </c>
      <c r="D9" s="5" t="s">
        <v>609</v>
      </c>
    </row>
    <row r="10" spans="1:4" ht="28">
      <c r="A10" s="5" t="s">
        <v>362</v>
      </c>
      <c r="B10" s="5" t="s">
        <v>370</v>
      </c>
      <c r="D10" s="5" t="s">
        <v>609</v>
      </c>
    </row>
    <row r="11" spans="1:4" ht="28">
      <c r="A11" s="5" t="s">
        <v>362</v>
      </c>
      <c r="B11" s="5" t="s">
        <v>371</v>
      </c>
      <c r="D11" s="5" t="s">
        <v>609</v>
      </c>
    </row>
    <row r="12" spans="1:4" ht="28">
      <c r="A12" s="5" t="s">
        <v>362</v>
      </c>
      <c r="B12" s="5" t="s">
        <v>372</v>
      </c>
      <c r="D12" s="5" t="s">
        <v>610</v>
      </c>
    </row>
    <row r="13" spans="1:4" ht="28">
      <c r="A13" s="5" t="s">
        <v>362</v>
      </c>
      <c r="B13" s="5" t="s">
        <v>373</v>
      </c>
      <c r="C13" s="5" t="s">
        <v>374</v>
      </c>
      <c r="D13" s="5" t="s">
        <v>611</v>
      </c>
    </row>
    <row r="14" spans="1:4" ht="28">
      <c r="A14" s="5" t="s">
        <v>362</v>
      </c>
      <c r="B14" s="5" t="s">
        <v>364</v>
      </c>
      <c r="C14" s="5" t="s">
        <v>374</v>
      </c>
      <c r="D14" s="5" t="s">
        <v>570</v>
      </c>
    </row>
    <row r="15" spans="1:4" ht="42">
      <c r="A15" s="5" t="s">
        <v>362</v>
      </c>
      <c r="B15" s="5" t="s">
        <v>375</v>
      </c>
      <c r="C15" s="5" t="s">
        <v>374</v>
      </c>
      <c r="D15" s="5" t="s">
        <v>607</v>
      </c>
    </row>
    <row r="16" spans="1:4">
      <c r="A16" s="5" t="s">
        <v>362</v>
      </c>
      <c r="B16" s="5" t="s">
        <v>376</v>
      </c>
      <c r="C16" s="5" t="s">
        <v>374</v>
      </c>
      <c r="D16" s="5" t="s">
        <v>612</v>
      </c>
    </row>
    <row r="17" spans="1:4" ht="28">
      <c r="A17" s="5" t="s">
        <v>362</v>
      </c>
      <c r="B17" s="5" t="s">
        <v>377</v>
      </c>
      <c r="C17" s="5" t="s">
        <v>374</v>
      </c>
      <c r="D17" s="5" t="s">
        <v>607</v>
      </c>
    </row>
    <row r="18" spans="1:4">
      <c r="A18" s="5" t="s">
        <v>378</v>
      </c>
      <c r="B18" s="5" t="s">
        <v>731</v>
      </c>
    </row>
    <row r="19" spans="1:4">
      <c r="A19" s="5" t="s">
        <v>379</v>
      </c>
      <c r="B19" s="5" t="s">
        <v>731</v>
      </c>
    </row>
    <row r="20" spans="1:4">
      <c r="A20" s="5" t="s">
        <v>380</v>
      </c>
      <c r="B20" s="5" t="s">
        <v>731</v>
      </c>
    </row>
    <row r="21" spans="1:4">
      <c r="A21" s="5" t="s">
        <v>641</v>
      </c>
      <c r="B21" s="5">
        <v>15</v>
      </c>
    </row>
  </sheetData>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AE11B-4924-4F10-AC63-CCCC1276AEA3}">
  <dimension ref="A1:D9"/>
  <sheetViews>
    <sheetView zoomScale="85" zoomScaleNormal="85" workbookViewId="0">
      <selection activeCell="D9" sqref="D9"/>
    </sheetView>
  </sheetViews>
  <sheetFormatPr defaultColWidth="13.83203125" defaultRowHeight="28.5" customHeight="1"/>
  <cols>
    <col min="1" max="1" width="13.83203125" style="5"/>
    <col min="2" max="3" width="49.4140625" style="5" customWidth="1"/>
    <col min="4" max="4" width="22.5" style="5" customWidth="1"/>
    <col min="5" max="16384" width="13.83203125" style="5"/>
  </cols>
  <sheetData>
    <row r="1" spans="1:4" ht="28.5" customHeight="1">
      <c r="A1" s="4" t="s">
        <v>726</v>
      </c>
      <c r="B1" s="3" t="s">
        <v>727</v>
      </c>
      <c r="C1" s="3" t="s">
        <v>728</v>
      </c>
      <c r="D1" s="3" t="s">
        <v>729</v>
      </c>
    </row>
    <row r="2" spans="1:4" ht="28.5" customHeight="1">
      <c r="A2" s="4" t="s">
        <v>381</v>
      </c>
      <c r="B2" s="3" t="s">
        <v>731</v>
      </c>
      <c r="C2" s="3"/>
      <c r="D2" s="3"/>
    </row>
    <row r="3" spans="1:4" ht="28.5" customHeight="1">
      <c r="A3" s="5" t="s">
        <v>382</v>
      </c>
      <c r="B3" s="9" t="s">
        <v>634</v>
      </c>
      <c r="C3" s="5" t="s">
        <v>383</v>
      </c>
      <c r="D3" s="5" t="s">
        <v>568</v>
      </c>
    </row>
    <row r="4" spans="1:4" ht="28.5" customHeight="1">
      <c r="A4" s="5" t="s">
        <v>382</v>
      </c>
      <c r="B4" s="5" t="s">
        <v>384</v>
      </c>
      <c r="C4" s="5" t="s">
        <v>385</v>
      </c>
      <c r="D4" s="5" t="s">
        <v>568</v>
      </c>
    </row>
    <row r="5" spans="1:4" ht="28.5" customHeight="1">
      <c r="A5" s="5" t="s">
        <v>382</v>
      </c>
      <c r="B5" s="5" t="s">
        <v>386</v>
      </c>
      <c r="C5" s="5" t="s">
        <v>385</v>
      </c>
      <c r="D5" s="5" t="s">
        <v>568</v>
      </c>
    </row>
    <row r="6" spans="1:4" ht="28.5" customHeight="1">
      <c r="A6" s="5" t="s">
        <v>387</v>
      </c>
      <c r="B6" s="5" t="s">
        <v>731</v>
      </c>
    </row>
    <row r="7" spans="1:4" ht="28.5" customHeight="1">
      <c r="A7" s="5" t="s">
        <v>388</v>
      </c>
      <c r="B7" s="5" t="s">
        <v>731</v>
      </c>
    </row>
    <row r="8" spans="1:4" ht="28.5" customHeight="1">
      <c r="A8" s="5" t="s">
        <v>389</v>
      </c>
      <c r="B8" s="5" t="s">
        <v>731</v>
      </c>
    </row>
    <row r="9" spans="1:4" ht="28.5" customHeight="1">
      <c r="A9" s="5" t="s">
        <v>641</v>
      </c>
      <c r="B9" s="5">
        <v>3</v>
      </c>
    </row>
  </sheetData>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A2A71-945F-4661-B228-817782C26CF3}">
  <dimension ref="A1:D7"/>
  <sheetViews>
    <sheetView workbookViewId="0">
      <selection activeCell="B7" sqref="B7"/>
    </sheetView>
  </sheetViews>
  <sheetFormatPr defaultColWidth="20.6640625" defaultRowHeight="28" customHeight="1"/>
  <cols>
    <col min="1" max="1" width="20.6640625" style="5"/>
    <col min="2" max="3" width="42.08203125" style="5" customWidth="1"/>
    <col min="4" max="16384" width="20.6640625" style="5"/>
  </cols>
  <sheetData>
    <row r="1" spans="1:4" ht="28" customHeight="1">
      <c r="A1" s="4" t="s">
        <v>726</v>
      </c>
      <c r="B1" s="3" t="s">
        <v>727</v>
      </c>
      <c r="C1" s="3" t="s">
        <v>728</v>
      </c>
      <c r="D1" s="3" t="s">
        <v>729</v>
      </c>
    </row>
    <row r="2" spans="1:4" ht="14">
      <c r="A2" s="5">
        <v>0.95</v>
      </c>
      <c r="B2" s="5" t="s">
        <v>731</v>
      </c>
    </row>
    <row r="3" spans="1:4" ht="28" customHeight="1">
      <c r="A3" s="5" t="s">
        <v>390</v>
      </c>
      <c r="B3" s="5" t="s">
        <v>731</v>
      </c>
    </row>
    <row r="4" spans="1:4" ht="28" customHeight="1">
      <c r="A4" s="5" t="s">
        <v>391</v>
      </c>
      <c r="B4" s="5" t="s">
        <v>731</v>
      </c>
    </row>
    <row r="5" spans="1:4" ht="28" customHeight="1">
      <c r="A5" s="5" t="s">
        <v>392</v>
      </c>
      <c r="B5" s="5" t="s">
        <v>731</v>
      </c>
    </row>
    <row r="6" spans="1:4" ht="28" customHeight="1">
      <c r="A6" s="5" t="s">
        <v>393</v>
      </c>
      <c r="B6" s="5" t="s">
        <v>731</v>
      </c>
    </row>
    <row r="7" spans="1:4" ht="28" customHeight="1">
      <c r="A7" s="5" t="s">
        <v>641</v>
      </c>
      <c r="B7" s="5">
        <v>0</v>
      </c>
    </row>
  </sheetData>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798FA-1699-4722-AB44-5954E66AF3F5}">
  <dimension ref="A1:D7"/>
  <sheetViews>
    <sheetView topLeftCell="B1" workbookViewId="0">
      <selection activeCell="D18" sqref="D18"/>
    </sheetView>
  </sheetViews>
  <sheetFormatPr defaultColWidth="18.58203125" defaultRowHeight="14"/>
  <cols>
    <col min="2" max="3" width="52.5" customWidth="1"/>
  </cols>
  <sheetData>
    <row r="1" spans="1:4">
      <c r="A1" s="2" t="s">
        <v>726</v>
      </c>
      <c r="B1" s="3" t="s">
        <v>727</v>
      </c>
      <c r="C1" s="3" t="s">
        <v>728</v>
      </c>
      <c r="D1" s="1" t="s">
        <v>729</v>
      </c>
    </row>
    <row r="2" spans="1:4">
      <c r="A2" t="s">
        <v>395</v>
      </c>
      <c r="B2" t="s">
        <v>394</v>
      </c>
      <c r="D2" t="s">
        <v>613</v>
      </c>
    </row>
    <row r="3" spans="1:4">
      <c r="A3" t="s">
        <v>390</v>
      </c>
      <c r="B3" t="s">
        <v>731</v>
      </c>
    </row>
    <row r="4" spans="1:4">
      <c r="A4" t="s">
        <v>396</v>
      </c>
      <c r="B4" t="s">
        <v>731</v>
      </c>
    </row>
    <row r="5" spans="1:4">
      <c r="A5" t="s">
        <v>397</v>
      </c>
      <c r="B5" t="s">
        <v>731</v>
      </c>
    </row>
    <row r="6" spans="1:4">
      <c r="A6" t="s">
        <v>398</v>
      </c>
      <c r="B6" t="s">
        <v>731</v>
      </c>
    </row>
    <row r="7" spans="1:4">
      <c r="A7" t="s">
        <v>644</v>
      </c>
      <c r="B7">
        <v>1</v>
      </c>
    </row>
  </sheetData>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CB43-5CB5-47CA-8E30-D320C4C37788}">
  <dimension ref="A1:D7"/>
  <sheetViews>
    <sheetView workbookViewId="0">
      <selection activeCell="B7" sqref="B7"/>
    </sheetView>
  </sheetViews>
  <sheetFormatPr defaultColWidth="18.08203125" defaultRowHeight="23.5" customHeight="1"/>
  <cols>
    <col min="2" max="3" width="38.9140625" customWidth="1"/>
  </cols>
  <sheetData>
    <row r="1" spans="1:4" ht="23.5" customHeight="1">
      <c r="A1" s="2" t="s">
        <v>726</v>
      </c>
      <c r="B1" s="3" t="s">
        <v>727</v>
      </c>
      <c r="C1" s="3" t="s">
        <v>728</v>
      </c>
      <c r="D1" s="1" t="s">
        <v>729</v>
      </c>
    </row>
    <row r="2" spans="1:4" ht="23.5" customHeight="1">
      <c r="A2" t="s">
        <v>399</v>
      </c>
      <c r="B2" t="s">
        <v>731</v>
      </c>
    </row>
    <row r="3" spans="1:4" ht="23.5" customHeight="1">
      <c r="A3" t="s">
        <v>352</v>
      </c>
      <c r="B3" t="s">
        <v>731</v>
      </c>
    </row>
    <row r="4" spans="1:4" ht="23.5" customHeight="1">
      <c r="A4" t="s">
        <v>400</v>
      </c>
      <c r="B4" t="s">
        <v>731</v>
      </c>
    </row>
    <row r="5" spans="1:4" ht="23.5" customHeight="1">
      <c r="A5" t="s">
        <v>401</v>
      </c>
      <c r="B5" t="s">
        <v>731</v>
      </c>
    </row>
    <row r="6" spans="1:4" ht="23.5" customHeight="1">
      <c r="A6" t="s">
        <v>402</v>
      </c>
      <c r="B6" t="s">
        <v>731</v>
      </c>
    </row>
    <row r="7" spans="1:4" ht="23.5" customHeight="1">
      <c r="A7" t="s">
        <v>641</v>
      </c>
      <c r="B7">
        <v>0</v>
      </c>
    </row>
  </sheetData>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D9D07-7C62-477B-B871-31385A14D271}">
  <dimension ref="A1:D29"/>
  <sheetViews>
    <sheetView topLeftCell="A35" zoomScaleNormal="100" workbookViewId="0">
      <selection activeCell="B4" sqref="B4"/>
    </sheetView>
  </sheetViews>
  <sheetFormatPr defaultColWidth="19.33203125" defaultRowHeight="24" customHeight="1"/>
  <cols>
    <col min="1" max="1" width="19.33203125" style="5"/>
    <col min="2" max="3" width="44" style="5" customWidth="1"/>
    <col min="4" max="16384" width="19.33203125" style="5"/>
  </cols>
  <sheetData>
    <row r="1" spans="1:4" ht="24" customHeight="1">
      <c r="A1" s="4" t="s">
        <v>726</v>
      </c>
      <c r="B1" s="3" t="s">
        <v>727</v>
      </c>
      <c r="C1" s="3" t="s">
        <v>728</v>
      </c>
      <c r="D1" s="3" t="s">
        <v>729</v>
      </c>
    </row>
    <row r="2" spans="1:4" ht="24" customHeight="1">
      <c r="A2" s="5" t="s">
        <v>403</v>
      </c>
      <c r="B2" s="10" t="s">
        <v>404</v>
      </c>
      <c r="C2" s="5" t="s">
        <v>405</v>
      </c>
      <c r="D2" s="5" t="s">
        <v>614</v>
      </c>
    </row>
    <row r="3" spans="1:4" ht="24" customHeight="1">
      <c r="A3" s="5" t="s">
        <v>403</v>
      </c>
      <c r="B3" s="5" t="s">
        <v>406</v>
      </c>
      <c r="C3" s="5" t="s">
        <v>405</v>
      </c>
      <c r="D3" s="5" t="s">
        <v>615</v>
      </c>
    </row>
    <row r="4" spans="1:4" ht="98">
      <c r="A4" s="5" t="s">
        <v>403</v>
      </c>
      <c r="B4" s="10" t="s">
        <v>616</v>
      </c>
      <c r="C4" s="5" t="s">
        <v>405</v>
      </c>
      <c r="D4" s="5" t="s">
        <v>617</v>
      </c>
    </row>
    <row r="5" spans="1:4" ht="56">
      <c r="A5" s="5" t="s">
        <v>403</v>
      </c>
      <c r="B5" s="5" t="s">
        <v>407</v>
      </c>
      <c r="C5" s="5" t="s">
        <v>408</v>
      </c>
      <c r="D5" s="5" t="s">
        <v>567</v>
      </c>
    </row>
    <row r="6" spans="1:4" ht="42">
      <c r="A6" s="5" t="s">
        <v>403</v>
      </c>
      <c r="B6" s="5" t="s">
        <v>409</v>
      </c>
      <c r="C6" s="5" t="s">
        <v>410</v>
      </c>
      <c r="D6" s="5" t="s">
        <v>618</v>
      </c>
    </row>
    <row r="7" spans="1:4" ht="28">
      <c r="A7" s="5" t="s">
        <v>413</v>
      </c>
      <c r="B7" s="10" t="s">
        <v>411</v>
      </c>
      <c r="C7" s="5" t="s">
        <v>343</v>
      </c>
      <c r="D7" s="5" t="s">
        <v>619</v>
      </c>
    </row>
    <row r="8" spans="1:4" ht="28">
      <c r="A8" s="5" t="s">
        <v>413</v>
      </c>
      <c r="B8" s="5" t="s">
        <v>412</v>
      </c>
      <c r="C8" s="5" t="s">
        <v>343</v>
      </c>
      <c r="D8" s="5" t="s">
        <v>620</v>
      </c>
    </row>
    <row r="9" spans="1:4" ht="24" customHeight="1">
      <c r="A9" s="5" t="s">
        <v>414</v>
      </c>
      <c r="B9" s="5" t="s">
        <v>731</v>
      </c>
    </row>
    <row r="10" spans="1:4" ht="42">
      <c r="A10" s="5" t="s">
        <v>531</v>
      </c>
      <c r="B10" s="10" t="s">
        <v>530</v>
      </c>
      <c r="C10" s="5" t="s">
        <v>111</v>
      </c>
      <c r="D10" s="5" t="s">
        <v>621</v>
      </c>
    </row>
    <row r="11" spans="1:4" ht="28">
      <c r="A11" s="5" t="s">
        <v>531</v>
      </c>
      <c r="B11" s="5" t="s">
        <v>532</v>
      </c>
      <c r="C11" s="5" t="s">
        <v>22</v>
      </c>
      <c r="D11" s="5" t="s">
        <v>571</v>
      </c>
    </row>
    <row r="12" spans="1:4" ht="210">
      <c r="A12" s="5" t="s">
        <v>531</v>
      </c>
      <c r="B12" s="5" t="s">
        <v>533</v>
      </c>
      <c r="C12" s="5" t="s">
        <v>22</v>
      </c>
      <c r="D12" s="5" t="s">
        <v>571</v>
      </c>
    </row>
    <row r="13" spans="1:4" ht="126">
      <c r="A13" s="5" t="s">
        <v>531</v>
      </c>
      <c r="B13" s="5" t="s">
        <v>534</v>
      </c>
      <c r="C13" s="5" t="s">
        <v>22</v>
      </c>
      <c r="D13" s="5" t="s">
        <v>622</v>
      </c>
    </row>
    <row r="14" spans="1:4" ht="24" customHeight="1">
      <c r="A14" s="5" t="s">
        <v>531</v>
      </c>
      <c r="B14" s="5" t="s">
        <v>535</v>
      </c>
      <c r="C14" s="5" t="s">
        <v>536</v>
      </c>
      <c r="D14" s="5" t="s">
        <v>579</v>
      </c>
    </row>
    <row r="15" spans="1:4" ht="112">
      <c r="A15" s="5" t="s">
        <v>381</v>
      </c>
      <c r="B15" s="5" t="s">
        <v>537</v>
      </c>
      <c r="C15" s="5" t="s">
        <v>111</v>
      </c>
      <c r="D15" s="5" t="s">
        <v>623</v>
      </c>
    </row>
    <row r="16" spans="1:4" ht="196">
      <c r="A16" s="5" t="s">
        <v>381</v>
      </c>
      <c r="B16" s="10" t="s">
        <v>539</v>
      </c>
      <c r="C16" s="5" t="s">
        <v>111</v>
      </c>
      <c r="D16" s="5" t="s">
        <v>649</v>
      </c>
    </row>
    <row r="17" spans="1:4" ht="28">
      <c r="A17" s="5" t="s">
        <v>381</v>
      </c>
      <c r="B17" s="5" t="s">
        <v>538</v>
      </c>
      <c r="C17" s="5" t="s">
        <v>111</v>
      </c>
      <c r="D17" s="5" t="s">
        <v>568</v>
      </c>
    </row>
    <row r="18" spans="1:4" ht="28">
      <c r="A18" s="5" t="s">
        <v>381</v>
      </c>
      <c r="B18" s="5" t="s">
        <v>548</v>
      </c>
      <c r="C18" s="5" t="s">
        <v>22</v>
      </c>
      <c r="D18" s="5" t="s">
        <v>568</v>
      </c>
    </row>
    <row r="19" spans="1:4" ht="24" customHeight="1">
      <c r="A19" s="5" t="s">
        <v>381</v>
      </c>
      <c r="B19" s="5" t="s">
        <v>540</v>
      </c>
      <c r="C19" s="5" t="s">
        <v>22</v>
      </c>
      <c r="D19" s="5" t="s">
        <v>567</v>
      </c>
    </row>
    <row r="20" spans="1:4" ht="112">
      <c r="A20" s="5" t="s">
        <v>381</v>
      </c>
      <c r="B20" s="5" t="s">
        <v>541</v>
      </c>
      <c r="C20" s="5" t="s">
        <v>22</v>
      </c>
      <c r="D20" s="5" t="s">
        <v>650</v>
      </c>
    </row>
    <row r="21" spans="1:4" ht="56">
      <c r="A21" s="5" t="s">
        <v>381</v>
      </c>
      <c r="B21" s="5" t="s">
        <v>542</v>
      </c>
      <c r="C21" s="5" t="s">
        <v>22</v>
      </c>
      <c r="D21" s="5" t="s">
        <v>625</v>
      </c>
    </row>
    <row r="22" spans="1:4" ht="28">
      <c r="A22" s="5" t="s">
        <v>381</v>
      </c>
      <c r="B22" s="5" t="s">
        <v>543</v>
      </c>
      <c r="C22" s="5" t="s">
        <v>22</v>
      </c>
      <c r="D22" s="5" t="s">
        <v>615</v>
      </c>
    </row>
    <row r="23" spans="1:4" ht="391.5" customHeight="1">
      <c r="A23" s="5" t="s">
        <v>381</v>
      </c>
      <c r="B23" s="5" t="s">
        <v>544</v>
      </c>
      <c r="C23" s="5" t="s">
        <v>22</v>
      </c>
      <c r="D23" s="5" t="s">
        <v>626</v>
      </c>
    </row>
    <row r="24" spans="1:4" ht="28">
      <c r="A24" s="5" t="s">
        <v>381</v>
      </c>
      <c r="B24" s="5" t="s">
        <v>545</v>
      </c>
      <c r="C24" s="5" t="s">
        <v>22</v>
      </c>
      <c r="D24" s="5" t="s">
        <v>568</v>
      </c>
    </row>
    <row r="25" spans="1:4" ht="56">
      <c r="A25" s="5" t="s">
        <v>381</v>
      </c>
      <c r="B25" s="5" t="s">
        <v>546</v>
      </c>
      <c r="C25" s="5" t="s">
        <v>536</v>
      </c>
      <c r="D25" s="5" t="s">
        <v>554</v>
      </c>
    </row>
    <row r="26" spans="1:4" ht="42">
      <c r="A26" s="5" t="s">
        <v>381</v>
      </c>
      <c r="B26" s="5" t="s">
        <v>549</v>
      </c>
      <c r="C26" s="5" t="s">
        <v>415</v>
      </c>
      <c r="D26" s="5" t="s">
        <v>568</v>
      </c>
    </row>
    <row r="27" spans="1:4" ht="23.5" customHeight="1">
      <c r="A27" s="5" t="s">
        <v>381</v>
      </c>
      <c r="B27" s="5" t="s">
        <v>547</v>
      </c>
      <c r="C27" s="5" t="s">
        <v>415</v>
      </c>
      <c r="D27" s="5" t="s">
        <v>651</v>
      </c>
    </row>
    <row r="28" spans="1:4" ht="25.5" customHeight="1">
      <c r="A28" s="5" t="s">
        <v>381</v>
      </c>
      <c r="B28" s="5" t="s">
        <v>550</v>
      </c>
      <c r="C28" s="5" t="s">
        <v>415</v>
      </c>
      <c r="D28" s="5" t="s">
        <v>620</v>
      </c>
    </row>
    <row r="29" spans="1:4" ht="24" customHeight="1">
      <c r="A29" s="5" t="s">
        <v>641</v>
      </c>
      <c r="B29" s="5">
        <v>26</v>
      </c>
    </row>
  </sheetData>
  <phoneticPr fontId="1"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FC262-17CC-4B21-A898-B7E964BB3ABD}">
  <dimension ref="A1:D7"/>
  <sheetViews>
    <sheetView zoomScaleNormal="100" workbookViewId="0">
      <selection activeCell="D7" sqref="D7"/>
    </sheetView>
  </sheetViews>
  <sheetFormatPr defaultColWidth="16.75" defaultRowHeight="29.5" customHeight="1"/>
  <cols>
    <col min="2" max="2" width="48.9140625" customWidth="1"/>
    <col min="3" max="3" width="20" customWidth="1"/>
  </cols>
  <sheetData>
    <row r="1" spans="1:4" ht="29.5" customHeight="1">
      <c r="A1" s="2" t="s">
        <v>726</v>
      </c>
      <c r="B1" s="3" t="s">
        <v>727</v>
      </c>
      <c r="C1" s="3" t="s">
        <v>728</v>
      </c>
      <c r="D1" s="1" t="s">
        <v>729</v>
      </c>
    </row>
    <row r="2" spans="1:4" ht="29.5" customHeight="1">
      <c r="A2" t="s">
        <v>417</v>
      </c>
      <c r="B2" t="s">
        <v>731</v>
      </c>
    </row>
    <row r="3" spans="1:4" ht="29.5" customHeight="1">
      <c r="A3" t="s">
        <v>418</v>
      </c>
      <c r="B3" t="s">
        <v>731</v>
      </c>
    </row>
    <row r="4" spans="1:4" ht="29.5" customHeight="1">
      <c r="A4" t="s">
        <v>529</v>
      </c>
      <c r="B4" t="s">
        <v>731</v>
      </c>
    </row>
    <row r="5" spans="1:4" ht="29.5" customHeight="1">
      <c r="A5" t="s">
        <v>419</v>
      </c>
      <c r="B5" t="s">
        <v>731</v>
      </c>
    </row>
    <row r="6" spans="1:4" ht="29.5" customHeight="1">
      <c r="A6" t="s">
        <v>420</v>
      </c>
      <c r="B6" t="s">
        <v>421</v>
      </c>
      <c r="C6" t="s">
        <v>422</v>
      </c>
      <c r="D6" t="s">
        <v>567</v>
      </c>
    </row>
    <row r="7" spans="1:4" ht="29.5" customHeight="1">
      <c r="A7" t="s">
        <v>641</v>
      </c>
      <c r="B7">
        <v>1</v>
      </c>
    </row>
  </sheetData>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FDCA-8FDF-4281-88CD-700AA89B8DE9}">
  <dimension ref="A1:D10"/>
  <sheetViews>
    <sheetView zoomScaleNormal="100" workbookViewId="0">
      <selection activeCell="E16" sqref="E16"/>
    </sheetView>
  </sheetViews>
  <sheetFormatPr defaultColWidth="14.08203125" defaultRowHeight="33.5" customHeight="1"/>
  <cols>
    <col min="1" max="1" width="14.08203125" style="3"/>
    <col min="2" max="3" width="48.58203125" style="3" customWidth="1"/>
    <col min="4" max="16384" width="14.08203125" style="3"/>
  </cols>
  <sheetData>
    <row r="1" spans="1:4" ht="33.5" customHeight="1">
      <c r="A1" s="4" t="s">
        <v>726</v>
      </c>
      <c r="B1" s="3" t="s">
        <v>727</v>
      </c>
      <c r="C1" s="3" t="s">
        <v>728</v>
      </c>
      <c r="D1" s="3" t="s">
        <v>729</v>
      </c>
    </row>
    <row r="2" spans="1:4" ht="33.5" customHeight="1">
      <c r="A2" s="3" t="s">
        <v>462</v>
      </c>
      <c r="B2" s="3" t="s">
        <v>463</v>
      </c>
      <c r="C2" s="3" t="s">
        <v>464</v>
      </c>
      <c r="D2" s="3" t="s">
        <v>568</v>
      </c>
    </row>
    <row r="3" spans="1:4" ht="33.5" customHeight="1">
      <c r="A3" s="3" t="s">
        <v>462</v>
      </c>
      <c r="B3" s="3" t="s">
        <v>465</v>
      </c>
      <c r="C3" s="3" t="s">
        <v>466</v>
      </c>
      <c r="D3" s="3" t="s">
        <v>568</v>
      </c>
    </row>
    <row r="4" spans="1:4" ht="33.5" customHeight="1">
      <c r="A4" s="3" t="s">
        <v>467</v>
      </c>
      <c r="B4" s="3" t="s">
        <v>731</v>
      </c>
    </row>
    <row r="5" spans="1:4" ht="33.5" customHeight="1">
      <c r="A5" s="3" t="s">
        <v>468</v>
      </c>
      <c r="B5" s="3" t="s">
        <v>731</v>
      </c>
    </row>
    <row r="6" spans="1:4" ht="33.5" customHeight="1">
      <c r="A6" s="3" t="s">
        <v>469</v>
      </c>
      <c r="B6" s="3" t="s">
        <v>731</v>
      </c>
    </row>
    <row r="7" spans="1:4" ht="33.5" customHeight="1">
      <c r="A7" s="3" t="s">
        <v>470</v>
      </c>
      <c r="B7" s="3" t="s">
        <v>731</v>
      </c>
    </row>
    <row r="8" spans="1:4" ht="33.5" customHeight="1">
      <c r="A8" s="3" t="s">
        <v>641</v>
      </c>
      <c r="B8" s="3">
        <v>2</v>
      </c>
    </row>
    <row r="9" spans="1:4" ht="33.5" customHeight="1">
      <c r="B9" s="8"/>
    </row>
    <row r="10" spans="1:4" ht="33.5" customHeight="1">
      <c r="B10" s="8"/>
    </row>
  </sheetData>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59E5-9EE1-4D0E-8700-262AE7EE5CB4}">
  <dimension ref="A1:D7"/>
  <sheetViews>
    <sheetView zoomScale="70" zoomScaleNormal="70" workbookViewId="0">
      <selection activeCell="F14" sqref="F14"/>
    </sheetView>
  </sheetViews>
  <sheetFormatPr defaultColWidth="14.83203125" defaultRowHeight="25.5" customHeight="1"/>
  <cols>
    <col min="2" max="2" width="56.6640625" customWidth="1"/>
    <col min="3" max="3" width="49.75" customWidth="1"/>
    <col min="6" max="6" width="61.75" customWidth="1"/>
  </cols>
  <sheetData>
    <row r="1" spans="1:4" ht="25.5" customHeight="1">
      <c r="A1" s="2" t="s">
        <v>726</v>
      </c>
      <c r="B1" s="3" t="s">
        <v>727</v>
      </c>
      <c r="C1" s="3" t="s">
        <v>728</v>
      </c>
      <c r="D1" s="1" t="s">
        <v>729</v>
      </c>
    </row>
    <row r="2" spans="1:4" ht="25.5" customHeight="1">
      <c r="A2" t="s">
        <v>471</v>
      </c>
      <c r="B2" t="s">
        <v>731</v>
      </c>
    </row>
    <row r="3" spans="1:4" ht="25.5" customHeight="1">
      <c r="A3" t="s">
        <v>472</v>
      </c>
      <c r="B3" s="11" t="s">
        <v>731</v>
      </c>
    </row>
    <row r="4" spans="1:4" ht="25.5" customHeight="1">
      <c r="A4" t="s">
        <v>474</v>
      </c>
      <c r="B4" t="s">
        <v>731</v>
      </c>
    </row>
    <row r="5" spans="1:4" ht="25.5" customHeight="1">
      <c r="A5" t="s">
        <v>475</v>
      </c>
      <c r="B5" t="s">
        <v>476</v>
      </c>
      <c r="C5" t="s">
        <v>473</v>
      </c>
      <c r="D5" t="s">
        <v>627</v>
      </c>
    </row>
    <row r="6" spans="1:4" ht="25.5" customHeight="1">
      <c r="A6" t="s">
        <v>477</v>
      </c>
      <c r="B6" t="s">
        <v>731</v>
      </c>
    </row>
    <row r="7" spans="1:4" ht="25.5" customHeight="1">
      <c r="A7" t="s">
        <v>641</v>
      </c>
      <c r="B7">
        <v>1</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C4C4-A082-4C5C-B37C-85919D3B8E77}">
  <dimension ref="A1:D7"/>
  <sheetViews>
    <sheetView zoomScale="82" zoomScaleNormal="85" workbookViewId="0">
      <selection activeCell="F12" sqref="F12"/>
    </sheetView>
  </sheetViews>
  <sheetFormatPr defaultColWidth="13.4140625" defaultRowHeight="29" customHeight="1"/>
  <cols>
    <col min="1" max="1" width="13.4140625" style="5"/>
    <col min="2" max="2" width="50.33203125" style="5" customWidth="1"/>
    <col min="3" max="3" width="26.4140625" style="5" customWidth="1"/>
    <col min="4" max="16384" width="13.4140625" style="5"/>
  </cols>
  <sheetData>
    <row r="1" spans="1:4" ht="29" customHeight="1">
      <c r="A1" s="4" t="s">
        <v>726</v>
      </c>
      <c r="B1" s="3" t="s">
        <v>727</v>
      </c>
      <c r="C1" s="3" t="s">
        <v>728</v>
      </c>
      <c r="D1" s="3" t="s">
        <v>729</v>
      </c>
    </row>
    <row r="2" spans="1:4" ht="29" customHeight="1">
      <c r="A2" s="5" t="s">
        <v>479</v>
      </c>
      <c r="B2" s="5" t="s">
        <v>478</v>
      </c>
      <c r="D2" s="5" t="s">
        <v>628</v>
      </c>
    </row>
    <row r="3" spans="1:4" ht="29" customHeight="1">
      <c r="A3" s="5" t="s">
        <v>480</v>
      </c>
      <c r="B3" s="5" t="s">
        <v>731</v>
      </c>
    </row>
    <row r="4" spans="1:4" ht="29" customHeight="1">
      <c r="A4" s="5" t="s">
        <v>481</v>
      </c>
      <c r="B4" s="5" t="s">
        <v>731</v>
      </c>
    </row>
    <row r="5" spans="1:4" ht="29" customHeight="1">
      <c r="A5" s="5" t="s">
        <v>482</v>
      </c>
      <c r="B5" s="5" t="s">
        <v>731</v>
      </c>
    </row>
    <row r="6" spans="1:4" ht="29" customHeight="1">
      <c r="A6" s="5" t="s">
        <v>483</v>
      </c>
      <c r="B6" s="5" t="s">
        <v>731</v>
      </c>
    </row>
    <row r="7" spans="1:4" ht="29" customHeight="1">
      <c r="A7" s="5" t="s">
        <v>641</v>
      </c>
      <c r="B7" s="5">
        <v>1</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4FD2-411E-40AA-8FE2-105F77A89415}">
  <dimension ref="A1:D7"/>
  <sheetViews>
    <sheetView zoomScale="78" zoomScaleNormal="100" workbookViewId="0">
      <selection activeCell="E5" sqref="E5"/>
    </sheetView>
  </sheetViews>
  <sheetFormatPr defaultColWidth="17.1640625" defaultRowHeight="24.5" customHeight="1"/>
  <cols>
    <col min="1" max="1" width="7.33203125" customWidth="1"/>
    <col min="2" max="2" width="58.58203125" customWidth="1"/>
    <col min="3" max="3" width="13" customWidth="1"/>
  </cols>
  <sheetData>
    <row r="1" spans="1:4" ht="24.5" customHeight="1">
      <c r="A1" s="2" t="s">
        <v>726</v>
      </c>
      <c r="B1" s="3" t="s">
        <v>727</v>
      </c>
      <c r="C1" s="3" t="s">
        <v>728</v>
      </c>
      <c r="D1" s="1" t="s">
        <v>729</v>
      </c>
    </row>
    <row r="2" spans="1:4" ht="24.5" customHeight="1">
      <c r="A2" t="s">
        <v>399</v>
      </c>
      <c r="B2" t="s">
        <v>731</v>
      </c>
    </row>
    <row r="3" spans="1:4" ht="24.5" customHeight="1">
      <c r="A3" t="s">
        <v>484</v>
      </c>
      <c r="B3" t="s">
        <v>731</v>
      </c>
    </row>
    <row r="4" spans="1:4" ht="24.5" customHeight="1">
      <c r="A4" t="s">
        <v>485</v>
      </c>
      <c r="B4" s="11" t="s">
        <v>731</v>
      </c>
      <c r="C4" s="11"/>
      <c r="D4" s="11"/>
    </row>
    <row r="5" spans="1:4" ht="24.5" customHeight="1">
      <c r="A5" t="s">
        <v>488</v>
      </c>
      <c r="B5" t="s">
        <v>486</v>
      </c>
      <c r="C5" t="s">
        <v>487</v>
      </c>
      <c r="D5" t="s">
        <v>554</v>
      </c>
    </row>
    <row r="6" spans="1:4" ht="24.5" customHeight="1">
      <c r="A6" t="s">
        <v>489</v>
      </c>
      <c r="B6" t="s">
        <v>731</v>
      </c>
    </row>
    <row r="7" spans="1:4" ht="24.5" customHeight="1">
      <c r="A7" t="s">
        <v>641</v>
      </c>
      <c r="B7">
        <v>1</v>
      </c>
    </row>
  </sheetData>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26C19-2A0C-4F9D-BA61-CA1B73334338}">
  <dimension ref="A1:D32"/>
  <sheetViews>
    <sheetView zoomScale="85" zoomScaleNormal="85" workbookViewId="0">
      <selection activeCell="E13" sqref="E13"/>
    </sheetView>
  </sheetViews>
  <sheetFormatPr defaultColWidth="13.9140625" defaultRowHeight="23.5" customHeight="1"/>
  <cols>
    <col min="1" max="1" width="13.9140625" style="7"/>
    <col min="2" max="3" width="46.9140625" style="5" customWidth="1"/>
    <col min="4" max="4" width="31.4140625" style="5" customWidth="1"/>
    <col min="5" max="16384" width="13.9140625" style="5"/>
  </cols>
  <sheetData>
    <row r="1" spans="1:4" ht="23.5" customHeight="1">
      <c r="A1" s="4" t="s">
        <v>726</v>
      </c>
      <c r="B1" s="3" t="s">
        <v>727</v>
      </c>
      <c r="C1" s="3" t="s">
        <v>728</v>
      </c>
      <c r="D1" s="3" t="s">
        <v>729</v>
      </c>
    </row>
    <row r="2" spans="1:4" ht="28">
      <c r="A2" s="7" t="s">
        <v>423</v>
      </c>
      <c r="B2" s="5" t="s">
        <v>424</v>
      </c>
      <c r="C2" s="5" t="s">
        <v>425</v>
      </c>
      <c r="D2" s="5" t="s">
        <v>619</v>
      </c>
    </row>
    <row r="3" spans="1:4" ht="23.5" customHeight="1">
      <c r="A3" s="7" t="s">
        <v>423</v>
      </c>
      <c r="B3" s="5" t="s">
        <v>426</v>
      </c>
      <c r="C3" s="5" t="s">
        <v>425</v>
      </c>
      <c r="D3" s="5" t="s">
        <v>619</v>
      </c>
    </row>
    <row r="4" spans="1:4" ht="28">
      <c r="A4" s="7" t="s">
        <v>423</v>
      </c>
      <c r="B4" s="5" t="s">
        <v>427</v>
      </c>
      <c r="C4" s="5" t="s">
        <v>425</v>
      </c>
      <c r="D4" s="5" t="s">
        <v>559</v>
      </c>
    </row>
    <row r="5" spans="1:4" ht="23.5" customHeight="1">
      <c r="A5" s="7" t="s">
        <v>423</v>
      </c>
      <c r="B5" s="5" t="s">
        <v>428</v>
      </c>
      <c r="C5" s="5" t="s">
        <v>425</v>
      </c>
      <c r="D5" s="5" t="s">
        <v>579</v>
      </c>
    </row>
    <row r="6" spans="1:4" ht="59.5" customHeight="1">
      <c r="A6" s="7" t="s">
        <v>429</v>
      </c>
      <c r="B6" s="5" t="s">
        <v>430</v>
      </c>
      <c r="C6" s="5" t="s">
        <v>425</v>
      </c>
      <c r="D6" s="5" t="s">
        <v>560</v>
      </c>
    </row>
    <row r="7" spans="1:4" ht="42">
      <c r="A7" s="7" t="s">
        <v>429</v>
      </c>
      <c r="B7" s="9" t="s">
        <v>431</v>
      </c>
      <c r="C7" s="5" t="s">
        <v>425</v>
      </c>
      <c r="D7" s="5" t="s">
        <v>570</v>
      </c>
    </row>
    <row r="8" spans="1:4" ht="56">
      <c r="A8" s="7" t="s">
        <v>429</v>
      </c>
      <c r="B8" s="5" t="s">
        <v>432</v>
      </c>
      <c r="C8" s="5" t="s">
        <v>425</v>
      </c>
      <c r="D8" s="5" t="s">
        <v>647</v>
      </c>
    </row>
    <row r="9" spans="1:4" ht="28">
      <c r="A9" s="7" t="s">
        <v>429</v>
      </c>
      <c r="B9" s="9" t="s">
        <v>433</v>
      </c>
      <c r="C9" s="5" t="s">
        <v>425</v>
      </c>
      <c r="D9" s="5" t="s">
        <v>564</v>
      </c>
    </row>
    <row r="10" spans="1:4" ht="28">
      <c r="A10" s="7" t="s">
        <v>429</v>
      </c>
      <c r="B10" s="12" t="s">
        <v>434</v>
      </c>
      <c r="C10" s="5" t="s">
        <v>425</v>
      </c>
      <c r="D10" s="5" t="s">
        <v>579</v>
      </c>
    </row>
    <row r="11" spans="1:4" ht="23.5" customHeight="1">
      <c r="A11" s="7" t="s">
        <v>429</v>
      </c>
      <c r="B11" s="12" t="s">
        <v>435</v>
      </c>
      <c r="C11" s="5" t="s">
        <v>425</v>
      </c>
      <c r="D11" s="5" t="s">
        <v>557</v>
      </c>
    </row>
    <row r="12" spans="1:4" ht="28">
      <c r="A12" s="7" t="s">
        <v>429</v>
      </c>
      <c r="B12" s="5" t="s">
        <v>436</v>
      </c>
      <c r="C12" s="5" t="s">
        <v>425</v>
      </c>
      <c r="D12" s="5" t="s">
        <v>564</v>
      </c>
    </row>
    <row r="13" spans="1:4" ht="23.5" customHeight="1">
      <c r="A13" s="7" t="s">
        <v>429</v>
      </c>
      <c r="B13" s="5" t="s">
        <v>437</v>
      </c>
      <c r="C13" s="5" t="s">
        <v>438</v>
      </c>
      <c r="D13" s="5" t="s">
        <v>565</v>
      </c>
    </row>
    <row r="14" spans="1:4" ht="77.5" customHeight="1">
      <c r="A14" s="7" t="s">
        <v>429</v>
      </c>
      <c r="B14" s="5" t="s">
        <v>439</v>
      </c>
      <c r="C14" s="5" t="s">
        <v>438</v>
      </c>
      <c r="D14" s="5" t="s">
        <v>629</v>
      </c>
    </row>
    <row r="15" spans="1:4" ht="42">
      <c r="A15" s="7" t="s">
        <v>440</v>
      </c>
      <c r="B15" s="5" t="s">
        <v>441</v>
      </c>
      <c r="C15" s="5" t="s">
        <v>442</v>
      </c>
      <c r="D15" s="5" t="s">
        <v>557</v>
      </c>
    </row>
    <row r="16" spans="1:4" ht="28">
      <c r="A16" s="7" t="s">
        <v>443</v>
      </c>
      <c r="B16" s="5" t="s">
        <v>444</v>
      </c>
      <c r="C16" s="5" t="s">
        <v>425</v>
      </c>
      <c r="D16" s="5" t="s">
        <v>571</v>
      </c>
    </row>
    <row r="17" spans="1:4" ht="42">
      <c r="A17" s="7" t="s">
        <v>443</v>
      </c>
      <c r="B17" s="5" t="s">
        <v>445</v>
      </c>
      <c r="C17" s="5" t="s">
        <v>425</v>
      </c>
      <c r="D17" s="5" t="s">
        <v>630</v>
      </c>
    </row>
    <row r="18" spans="1:4" ht="42">
      <c r="A18" s="7" t="s">
        <v>443</v>
      </c>
      <c r="B18" s="5" t="s">
        <v>446</v>
      </c>
      <c r="C18" s="5" t="s">
        <v>425</v>
      </c>
      <c r="D18" s="5" t="s">
        <v>574</v>
      </c>
    </row>
    <row r="19" spans="1:4" ht="70">
      <c r="A19" s="7" t="s">
        <v>443</v>
      </c>
      <c r="B19" s="5" t="s">
        <v>447</v>
      </c>
      <c r="C19" s="5" t="s">
        <v>425</v>
      </c>
      <c r="D19" s="5" t="s">
        <v>631</v>
      </c>
    </row>
    <row r="20" spans="1:4" ht="23.5" customHeight="1">
      <c r="A20" s="7" t="s">
        <v>443</v>
      </c>
      <c r="B20" s="5" t="s">
        <v>448</v>
      </c>
      <c r="C20" s="5" t="s">
        <v>425</v>
      </c>
      <c r="D20" s="5" t="s">
        <v>559</v>
      </c>
    </row>
    <row r="21" spans="1:4" ht="23.5" customHeight="1">
      <c r="A21" s="7" t="s">
        <v>443</v>
      </c>
      <c r="B21" s="5" t="s">
        <v>449</v>
      </c>
      <c r="C21" s="5" t="s">
        <v>425</v>
      </c>
      <c r="D21" s="5" t="s">
        <v>559</v>
      </c>
    </row>
    <row r="22" spans="1:4" ht="23.5" customHeight="1">
      <c r="A22" s="7" t="s">
        <v>443</v>
      </c>
      <c r="B22" s="5" t="s">
        <v>450</v>
      </c>
      <c r="C22" s="5" t="s">
        <v>425</v>
      </c>
      <c r="D22" s="5" t="s">
        <v>559</v>
      </c>
    </row>
    <row r="23" spans="1:4" ht="317" customHeight="1">
      <c r="A23" s="7" t="s">
        <v>451</v>
      </c>
      <c r="B23" s="5" t="s">
        <v>452</v>
      </c>
      <c r="C23" s="5" t="s">
        <v>425</v>
      </c>
      <c r="D23" s="5" t="s">
        <v>648</v>
      </c>
    </row>
    <row r="24" spans="1:4" ht="28">
      <c r="A24" s="7" t="s">
        <v>451</v>
      </c>
      <c r="B24" s="5" t="s">
        <v>453</v>
      </c>
      <c r="C24" s="5" t="s">
        <v>425</v>
      </c>
      <c r="D24" s="5" t="s">
        <v>619</v>
      </c>
    </row>
    <row r="25" spans="1:4" ht="28">
      <c r="A25" s="7" t="s">
        <v>451</v>
      </c>
      <c r="B25" s="5" t="s">
        <v>454</v>
      </c>
      <c r="C25" s="5" t="s">
        <v>425</v>
      </c>
      <c r="D25" s="5" t="s">
        <v>565</v>
      </c>
    </row>
    <row r="26" spans="1:4" ht="28">
      <c r="A26" s="7" t="s">
        <v>451</v>
      </c>
      <c r="B26" s="5" t="s">
        <v>455</v>
      </c>
      <c r="C26" s="5" t="s">
        <v>456</v>
      </c>
      <c r="D26" s="5" t="s">
        <v>565</v>
      </c>
    </row>
    <row r="27" spans="1:4" ht="42">
      <c r="A27" s="7" t="s">
        <v>451</v>
      </c>
      <c r="B27" s="5" t="s">
        <v>457</v>
      </c>
      <c r="C27" s="5" t="s">
        <v>456</v>
      </c>
      <c r="D27" s="5" t="s">
        <v>624</v>
      </c>
    </row>
    <row r="28" spans="1:4" ht="42">
      <c r="A28" s="7" t="s">
        <v>451</v>
      </c>
      <c r="B28" s="5" t="s">
        <v>458</v>
      </c>
      <c r="C28" s="5" t="s">
        <v>456</v>
      </c>
      <c r="D28" s="5" t="s">
        <v>632</v>
      </c>
    </row>
    <row r="29" spans="1:4" ht="42">
      <c r="A29" s="7" t="s">
        <v>451</v>
      </c>
      <c r="B29" s="5" t="s">
        <v>459</v>
      </c>
      <c r="C29" s="5" t="s">
        <v>456</v>
      </c>
      <c r="D29" s="5" t="s">
        <v>565</v>
      </c>
    </row>
    <row r="30" spans="1:4" ht="42">
      <c r="A30" s="7" t="s">
        <v>451</v>
      </c>
      <c r="B30" s="5" t="s">
        <v>460</v>
      </c>
      <c r="C30" s="5" t="s">
        <v>456</v>
      </c>
      <c r="D30" s="5" t="s">
        <v>565</v>
      </c>
    </row>
    <row r="31" spans="1:4" ht="23.5" customHeight="1">
      <c r="A31" s="7" t="s">
        <v>461</v>
      </c>
      <c r="B31" s="5" t="s">
        <v>731</v>
      </c>
    </row>
    <row r="32" spans="1:4" ht="23.5" customHeight="1">
      <c r="A32" s="7" t="s">
        <v>641</v>
      </c>
      <c r="B32" s="5">
        <v>29</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42AB9-D601-4980-A87F-61A8E5249CD0}">
  <dimension ref="A1:D7"/>
  <sheetViews>
    <sheetView zoomScale="70" zoomScaleNormal="70" workbookViewId="0">
      <selection activeCell="H13" sqref="H13"/>
    </sheetView>
  </sheetViews>
  <sheetFormatPr defaultColWidth="21.08203125" defaultRowHeight="30" customHeight="1"/>
  <cols>
    <col min="1" max="1" width="21.08203125" style="5"/>
    <col min="2" max="3" width="59.58203125" style="5" customWidth="1"/>
    <col min="4" max="16384" width="21.08203125" style="5"/>
  </cols>
  <sheetData>
    <row r="1" spans="1:4" ht="30" customHeight="1">
      <c r="A1" s="4" t="s">
        <v>726</v>
      </c>
      <c r="B1" s="3" t="s">
        <v>727</v>
      </c>
      <c r="C1" s="3" t="s">
        <v>728</v>
      </c>
      <c r="D1" s="3" t="s">
        <v>729</v>
      </c>
    </row>
    <row r="2" spans="1:4" ht="30.5" customHeight="1">
      <c r="A2" s="5" t="s">
        <v>490</v>
      </c>
      <c r="B2" s="5" t="s">
        <v>731</v>
      </c>
    </row>
    <row r="3" spans="1:4" ht="30" customHeight="1">
      <c r="A3" s="5" t="s">
        <v>491</v>
      </c>
      <c r="B3" s="5" t="s">
        <v>731</v>
      </c>
    </row>
    <row r="4" spans="1:4" ht="30" customHeight="1">
      <c r="A4" s="5" t="s">
        <v>492</v>
      </c>
      <c r="B4" s="5" t="s">
        <v>731</v>
      </c>
    </row>
    <row r="5" spans="1:4" ht="30" customHeight="1">
      <c r="A5" s="5" t="s">
        <v>493</v>
      </c>
      <c r="B5" s="5" t="s">
        <v>731</v>
      </c>
    </row>
    <row r="6" spans="1:4" ht="30" customHeight="1">
      <c r="A6" s="5" t="s">
        <v>494</v>
      </c>
      <c r="B6" s="5" t="s">
        <v>731</v>
      </c>
    </row>
    <row r="7" spans="1:4" ht="30" customHeight="1">
      <c r="A7" s="5" t="s">
        <v>641</v>
      </c>
      <c r="B7" s="5">
        <v>0</v>
      </c>
    </row>
  </sheetData>
  <phoneticPr fontId="1"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E58DC-6D62-4C38-9F05-400D5A5D1638}">
  <dimension ref="A1:D8"/>
  <sheetViews>
    <sheetView topLeftCell="B1" zoomScaleNormal="100" workbookViewId="0">
      <selection activeCell="D8" sqref="D8"/>
    </sheetView>
  </sheetViews>
  <sheetFormatPr defaultColWidth="22.83203125" defaultRowHeight="30.5" customHeight="1"/>
  <cols>
    <col min="2" max="2" width="60.83203125" customWidth="1"/>
    <col min="3" max="3" width="24.58203125" customWidth="1"/>
  </cols>
  <sheetData>
    <row r="1" spans="1:4" ht="30.5" customHeight="1">
      <c r="A1" s="6" t="s">
        <v>726</v>
      </c>
      <c r="B1" s="3" t="s">
        <v>727</v>
      </c>
      <c r="C1" s="3" t="s">
        <v>728</v>
      </c>
      <c r="D1" s="1" t="s">
        <v>729</v>
      </c>
    </row>
    <row r="2" spans="1:4" ht="30.5" customHeight="1">
      <c r="A2" t="s">
        <v>495</v>
      </c>
      <c r="B2" t="s">
        <v>731</v>
      </c>
    </row>
    <row r="3" spans="1:4" ht="30.5" customHeight="1">
      <c r="A3" t="s">
        <v>496</v>
      </c>
      <c r="B3" t="s">
        <v>731</v>
      </c>
    </row>
    <row r="4" spans="1:4" ht="30.5" customHeight="1">
      <c r="A4" t="s">
        <v>497</v>
      </c>
      <c r="B4" t="s">
        <v>731</v>
      </c>
    </row>
    <row r="5" spans="1:4" ht="30.5" customHeight="1">
      <c r="A5" t="s">
        <v>498</v>
      </c>
      <c r="B5" t="s">
        <v>731</v>
      </c>
    </row>
    <row r="6" spans="1:4" ht="238">
      <c r="A6" t="s">
        <v>501</v>
      </c>
      <c r="B6" s="5" t="s">
        <v>499</v>
      </c>
      <c r="C6" s="1" t="s">
        <v>502</v>
      </c>
      <c r="D6" t="s">
        <v>568</v>
      </c>
    </row>
    <row r="7" spans="1:4" ht="84">
      <c r="A7" t="s">
        <v>501</v>
      </c>
      <c r="B7" s="5" t="s">
        <v>500</v>
      </c>
      <c r="C7" s="1" t="s">
        <v>502</v>
      </c>
      <c r="D7" t="s">
        <v>603</v>
      </c>
    </row>
    <row r="8" spans="1:4" ht="30.5" customHeight="1">
      <c r="A8" t="s">
        <v>641</v>
      </c>
      <c r="B8">
        <v>2</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BDE97-69A4-454A-AA0A-5FB76FD906EC}">
  <dimension ref="A1:D11"/>
  <sheetViews>
    <sheetView topLeftCell="B1" zoomScaleNormal="100" workbookViewId="0">
      <selection activeCell="D7" sqref="D7"/>
    </sheetView>
  </sheetViews>
  <sheetFormatPr defaultColWidth="22.1640625" defaultRowHeight="30.5" customHeight="1"/>
  <cols>
    <col min="1" max="1" width="14.83203125" customWidth="1"/>
    <col min="2" max="2" width="59.33203125" style="5" customWidth="1"/>
    <col min="3" max="3" width="15.58203125" customWidth="1"/>
  </cols>
  <sheetData>
    <row r="1" spans="1:4" ht="30.5" customHeight="1">
      <c r="A1" s="2" t="s">
        <v>726</v>
      </c>
      <c r="B1" s="3" t="s">
        <v>727</v>
      </c>
      <c r="C1" s="3" t="s">
        <v>728</v>
      </c>
      <c r="D1" s="1" t="s">
        <v>729</v>
      </c>
    </row>
    <row r="2" spans="1:4" ht="30.5" customHeight="1">
      <c r="A2" t="s">
        <v>503</v>
      </c>
      <c r="B2" s="5" t="s">
        <v>731</v>
      </c>
    </row>
    <row r="3" spans="1:4" ht="30.5" customHeight="1">
      <c r="A3" t="s">
        <v>504</v>
      </c>
      <c r="B3" s="5" t="s">
        <v>505</v>
      </c>
      <c r="C3" t="s">
        <v>506</v>
      </c>
      <c r="D3" t="s">
        <v>645</v>
      </c>
    </row>
    <row r="4" spans="1:4" ht="30.5" customHeight="1">
      <c r="A4" t="s">
        <v>504</v>
      </c>
      <c r="B4" s="5" t="s">
        <v>507</v>
      </c>
      <c r="C4" t="s">
        <v>506</v>
      </c>
      <c r="D4" t="s">
        <v>558</v>
      </c>
    </row>
    <row r="5" spans="1:4" ht="30.5" customHeight="1">
      <c r="A5" t="s">
        <v>504</v>
      </c>
      <c r="B5" s="5" t="s">
        <v>508</v>
      </c>
      <c r="C5" t="s">
        <v>416</v>
      </c>
      <c r="D5" t="s">
        <v>559</v>
      </c>
    </row>
    <row r="6" spans="1:4" ht="30.5" customHeight="1">
      <c r="A6" t="s">
        <v>504</v>
      </c>
      <c r="B6" s="5" t="s">
        <v>509</v>
      </c>
      <c r="C6" t="s">
        <v>416</v>
      </c>
      <c r="D6" t="s">
        <v>559</v>
      </c>
    </row>
    <row r="7" spans="1:4" ht="30.5" customHeight="1">
      <c r="A7" t="s">
        <v>504</v>
      </c>
      <c r="B7" s="5" t="s">
        <v>510</v>
      </c>
      <c r="C7" t="s">
        <v>416</v>
      </c>
      <c r="D7" t="s">
        <v>559</v>
      </c>
    </row>
    <row r="8" spans="1:4" ht="210">
      <c r="A8" t="s">
        <v>511</v>
      </c>
      <c r="B8" s="5" t="s">
        <v>512</v>
      </c>
      <c r="C8" t="s">
        <v>416</v>
      </c>
      <c r="D8" t="s">
        <v>633</v>
      </c>
    </row>
    <row r="9" spans="1:4" ht="30.5" customHeight="1">
      <c r="A9" t="s">
        <v>515</v>
      </c>
      <c r="B9" s="5" t="s">
        <v>513</v>
      </c>
      <c r="C9" t="s">
        <v>416</v>
      </c>
      <c r="D9" t="s">
        <v>619</v>
      </c>
    </row>
    <row r="10" spans="1:4" ht="140">
      <c r="A10" t="s">
        <v>516</v>
      </c>
      <c r="B10" s="5" t="s">
        <v>514</v>
      </c>
      <c r="C10" t="s">
        <v>416</v>
      </c>
      <c r="D10" t="s">
        <v>646</v>
      </c>
    </row>
    <row r="11" spans="1:4" ht="30.5" customHeight="1">
      <c r="A11" t="s">
        <v>641</v>
      </c>
      <c r="B11" s="5">
        <v>8</v>
      </c>
    </row>
  </sheetData>
  <phoneticPr fontId="1"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53112-392A-41C1-8F4B-4EF319A1AE04}">
  <dimension ref="A1:D7"/>
  <sheetViews>
    <sheetView zoomScaleNormal="100" workbookViewId="0">
      <selection activeCell="D7" sqref="D7"/>
    </sheetView>
  </sheetViews>
  <sheetFormatPr defaultColWidth="21.4140625" defaultRowHeight="27" customHeight="1"/>
  <cols>
    <col min="2" max="2" width="57.83203125" customWidth="1"/>
    <col min="3" max="3" width="26.1640625" customWidth="1"/>
  </cols>
  <sheetData>
    <row r="1" spans="1:4" ht="27" customHeight="1">
      <c r="A1" s="2" t="s">
        <v>726</v>
      </c>
      <c r="B1" s="3" t="s">
        <v>727</v>
      </c>
      <c r="C1" s="3" t="s">
        <v>728</v>
      </c>
      <c r="D1" s="1" t="s">
        <v>729</v>
      </c>
    </row>
    <row r="2" spans="1:4" ht="27" customHeight="1">
      <c r="A2" t="s">
        <v>517</v>
      </c>
      <c r="B2" t="s">
        <v>731</v>
      </c>
    </row>
    <row r="3" spans="1:4" ht="27" customHeight="1">
      <c r="A3" t="s">
        <v>518</v>
      </c>
      <c r="B3" t="s">
        <v>731</v>
      </c>
    </row>
    <row r="4" spans="1:4" ht="27" customHeight="1">
      <c r="A4" t="s">
        <v>519</v>
      </c>
      <c r="B4" t="s">
        <v>731</v>
      </c>
    </row>
    <row r="5" spans="1:4" ht="27" customHeight="1">
      <c r="A5" t="s">
        <v>520</v>
      </c>
      <c r="B5" t="s">
        <v>731</v>
      </c>
    </row>
    <row r="6" spans="1:4" ht="27" customHeight="1">
      <c r="A6" t="s">
        <v>521</v>
      </c>
      <c r="B6" t="s">
        <v>522</v>
      </c>
      <c r="C6" t="s">
        <v>523</v>
      </c>
      <c r="D6" t="s">
        <v>557</v>
      </c>
    </row>
    <row r="7" spans="1:4" ht="27" customHeight="1">
      <c r="A7" t="s">
        <v>641</v>
      </c>
      <c r="B7">
        <v>1</v>
      </c>
    </row>
  </sheetData>
  <phoneticPr fontId="1"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147B3-16F8-4640-8082-EDE55A257E36}">
  <dimension ref="A1:D7"/>
  <sheetViews>
    <sheetView zoomScale="85" zoomScaleNormal="85" workbookViewId="0">
      <selection activeCell="C26" sqref="C26"/>
    </sheetView>
  </sheetViews>
  <sheetFormatPr defaultColWidth="22.83203125" defaultRowHeight="30.5" customHeight="1"/>
  <cols>
    <col min="2" max="3" width="60.83203125" customWidth="1"/>
  </cols>
  <sheetData>
    <row r="1" spans="1:4" ht="30.5" customHeight="1">
      <c r="A1" s="2" t="s">
        <v>726</v>
      </c>
      <c r="B1" s="3" t="s">
        <v>727</v>
      </c>
      <c r="C1" s="3" t="s">
        <v>728</v>
      </c>
      <c r="D1" s="1" t="s">
        <v>729</v>
      </c>
    </row>
    <row r="2" spans="1:4" ht="30.5" customHeight="1">
      <c r="A2" s="6" t="s">
        <v>524</v>
      </c>
      <c r="B2" t="s">
        <v>731</v>
      </c>
    </row>
    <row r="3" spans="1:4" ht="30.5" customHeight="1">
      <c r="A3" s="6" t="s">
        <v>525</v>
      </c>
      <c r="B3" t="s">
        <v>731</v>
      </c>
    </row>
    <row r="4" spans="1:4" ht="30.5" customHeight="1">
      <c r="A4" s="6" t="s">
        <v>526</v>
      </c>
      <c r="B4" t="s">
        <v>731</v>
      </c>
    </row>
    <row r="5" spans="1:4" ht="30.5" customHeight="1">
      <c r="A5" s="6" t="s">
        <v>527</v>
      </c>
      <c r="B5" t="s">
        <v>731</v>
      </c>
    </row>
    <row r="6" spans="1:4" ht="30.5" customHeight="1">
      <c r="A6" s="6" t="s">
        <v>528</v>
      </c>
      <c r="B6" t="s">
        <v>731</v>
      </c>
    </row>
    <row r="7" spans="1:4" ht="30.5" customHeight="1">
      <c r="A7" s="6" t="s">
        <v>641</v>
      </c>
      <c r="B7">
        <v>0</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35AD1-B058-41A6-92EA-54588126D467}">
  <dimension ref="A1:AF61"/>
  <sheetViews>
    <sheetView tabSelected="1" zoomScaleNormal="100" workbookViewId="0">
      <selection activeCell="J31" sqref="J31"/>
    </sheetView>
  </sheetViews>
  <sheetFormatPr defaultRowHeight="14"/>
  <cols>
    <col min="4" max="4" width="16.58203125" customWidth="1"/>
    <col min="5" max="5" width="23.58203125" customWidth="1"/>
    <col min="9" max="9" width="16.83203125" customWidth="1"/>
    <col min="10" max="10" width="12.83203125" customWidth="1"/>
    <col min="11" max="11" width="11.6640625" customWidth="1"/>
    <col min="12" max="12" width="9.58203125" style="14" bestFit="1" customWidth="1"/>
    <col min="14" max="14" width="17.75" customWidth="1"/>
    <col min="17" max="17" width="11.1640625" customWidth="1"/>
  </cols>
  <sheetData>
    <row r="1" spans="1:26">
      <c r="A1" t="s">
        <v>641</v>
      </c>
      <c r="B1">
        <f>request!B7+numpy!B6+pandas!B65+click!B7+flask!B7+pydantic!B7+SciPy!B12+pillow!B7+'scikit-learn'!B9+matplotlib!B180+'redis-py'!B7+tornado!B7+NetworkX!B7+rich!B7+tensorflow!B26+fastAPI!B7+httpx!B21+transformers!B9+django!B7+xgboost!B7+keras!B7+pytorch!B29+plotly.py!B7+dask!B8+polars!B7+loguru!B7+LightGBM!B7+sympy!B32+spaCy!B7+gensim!B8+jax!B11+aiohttp!B7+faker!B7</f>
        <v>371</v>
      </c>
      <c r="D1" t="s">
        <v>729</v>
      </c>
      <c r="E1" t="s">
        <v>732</v>
      </c>
      <c r="G1" t="s">
        <v>733</v>
      </c>
      <c r="I1" t="s">
        <v>734</v>
      </c>
      <c r="J1" t="s">
        <v>735</v>
      </c>
      <c r="K1" t="s">
        <v>736</v>
      </c>
      <c r="L1" s="14" t="s">
        <v>733</v>
      </c>
      <c r="Q1" t="s">
        <v>739</v>
      </c>
    </row>
    <row r="2" spans="1:26">
      <c r="D2" t="s">
        <v>567</v>
      </c>
      <c r="E2" s="5">
        <f>COUNTIF(request!D:D, "*"&amp;D2&amp;"*")+COUNTIF(numpy!D:D, "*"&amp;D2&amp;"*")+COUNTIF(pandas!D:D, "*"&amp;D2&amp;"*")+COUNTIF(click!D:D, "*"&amp;D2&amp;"*")+COUNTIF(flask!D:D, "*"&amp;D2&amp;"*")+COUNTIF(pydantic!D:D, "*"&amp;D2&amp;"*")+COUNTIF(SciPy!D:D, "*"&amp;D2&amp;"*")+COUNTIF(pillow!D:D, "*"&amp;D2&amp;"*")+COUNTIF('scikit-learn'!D:D, "*"&amp;D2&amp;"*")+COUNTIF(matplotlib!D:D, "*"&amp;D2&amp;"*")+COUNTIF('redis-py'!D:D, "*"&amp;D2&amp;"*")+COUNTIF(tornado!D:D, "*"&amp;D2&amp;"*")+COUNTIF(NetworkX!D:D, "*"&amp;D2&amp;"*")+COUNTIF(rich!D:D, "*"&amp;D2&amp;"*")+COUNTIF(tensorflow!D:D, "*"&amp;D2&amp;"*")+COUNTIF(fastAPI!D:D, "*"&amp;D2&amp;"*")+COUNTIF(httpx!D:D, "*"&amp;D2&amp;"*")+COUNTIF(transformers!D:D, "*"&amp;D2&amp;"*")+COUNTIF(django!D:D, "*"&amp;D2&amp;"*")+COUNTIF(xgboost!D:D, "*"&amp;D2&amp;"*")+COUNTIF(keras!D:D, "*"&amp;D2&amp;"*")+COUNTIF(pytorch!D:D, "*"&amp;D2&amp;"*")+COUNTIF(plotly.py!D:D, "*"&amp;D2&amp;"*")+COUNTIF(dask!D:D, "*"&amp;D2&amp;"*")+COUNTIF(polars!D:D, "*"&amp;D2&amp;"*")+COUNTIF(loguru!D:D, "*"&amp;D2&amp;"*")+COUNTIF(LightGBM!D:D, "*"&amp;D2&amp;"*")+COUNTIF(sympy!D:D, "*"&amp;D2&amp;"*")+COUNTIF(spaCy!D:D, "*"&amp;D2&amp;"*")+COUNTIF(gensim!D:D, "*"&amp;D2&amp;"*")+COUNTIF(jax!D:D, "*"&amp;D2&amp;"*")+COUNTIF(aiohttp!D:D, "*"&amp;D2&amp;"*")+COUNTIF(faker!D:D, "*"&amp;D2&amp;"*")</f>
        <v>201</v>
      </c>
      <c r="F2">
        <f>E2-E3-E4</f>
        <v>13</v>
      </c>
      <c r="I2" t="s">
        <v>681</v>
      </c>
      <c r="J2" s="13">
        <f>F2+E3+E4+F5+E6</f>
        <v>216</v>
      </c>
      <c r="K2" s="9">
        <f>COUNTIF(request!D:D, "*"&amp;I2&amp;"*")+COUNTIF(numpy!D:D, "*"&amp;I2&amp;"*")+COUNTIF(pandas!D:D, "*"&amp;I2&amp;"*")+COUNTIF(click!D:D, "*"&amp;I2&amp;"*")+COUNTIF(flask!D:D, "*"&amp;I2&amp;"*")+COUNTIF(pydantic!D:D, "*"&amp;I2&amp;"*")+COUNTIF(SciPy!D:D, "*"&amp;I2&amp;"*")+COUNTIF(pillow!D:D, "*"&amp;I2&amp;"*")+COUNTIF('scikit-learn'!D:D, "*"&amp;I2&amp;"*")+COUNTIF(matplotlib!D:D, "*"&amp;I2&amp;"*")+COUNTIF('redis-py'!D:D, "*"&amp;I2&amp;"*")+COUNTIF(tornado!D:D, "*"&amp;I2&amp;"*")+COUNTIF(NetworkX!D:D, "*"&amp;I2&amp;"*")+COUNTIF(rich!D:D, "*"&amp;I2&amp;"*")+COUNTIF(tensorflow!D:D, "*"&amp;I2&amp;"*")+COUNTIF(fastAPI!D:D, "*"&amp;I2&amp;"*")+COUNTIF(httpx!D:D, "*"&amp;I2&amp;"*")+COUNTIF(transformers!D:D, "*"&amp;I2&amp;"*")+COUNTIF(django!D:D, "*"&amp;I2&amp;"*")+COUNTIF(xgboost!D:D, "*"&amp;I2&amp;"*")+COUNTIF(keras!D:D, "*"&amp;I2&amp;"*")+COUNTIF(pytorch!D:D, "*"&amp;I2&amp;"*")+COUNTIF(plotly.py!D:D, "*"&amp;I2&amp;"*")+COUNTIF(dask!D:D, "*"&amp;I2&amp;"*")+COUNTIF(polars!D:D, "*"&amp;I2&amp;"*")+COUNTIF(loguru!D:D, "*"&amp;I2&amp;"*")+COUNTIF(LightGBM!D:D, "*"&amp;I2&amp;"*")+COUNTIF(sympy!D:D, "*"&amp;I2&amp;"*")+COUNTIF(spaCy!D:D, "*"&amp;I2&amp;"*")+COUNTIF(gensim!D:D, "*"&amp;I2&amp;"*")+COUNTIF(jax!D:D, "*"&amp;I2&amp;"*")+COUNTIF(aiohttp!D:D, "*"&amp;I2&amp;"*")+COUNTIF(faker!D:D, "*"&amp;I2&amp;"*")</f>
        <v>211</v>
      </c>
      <c r="L2" s="14">
        <f>K2/B$1</f>
        <v>0.56873315363881405</v>
      </c>
      <c r="Q2" t="s">
        <v>703</v>
      </c>
      <c r="R2" s="9">
        <f>COUNTIFS(request!$D:$D, "*"&amp;$Q2&amp;"*")+COUNTIFS(numpy!$D:$D, "*"&amp;$Q2&amp;"*")+COUNTIFS(pandas!$D:$D, "*"&amp;$Q2&amp;"*")+COUNTIFS(click!$D:$D, "*"&amp;$Q2&amp;"*")+COUNTIFS(flask!$D:$D, "*"&amp;$Q2&amp;"*")+COUNTIFS(pydantic!$D:$D, "*"&amp;$Q2&amp;"*")+COUNTIFS(SciPy!$D:$D, "*"&amp;$Q2&amp;"*")+COUNTIFS(pillow!$D:$D, "*"&amp;$Q2&amp;"*")+COUNTIFS('scikit-learn'!$D:$D, "*"&amp;$Q2&amp;"*")+COUNTIFS(matplotlib!$D:$D, "*"&amp;$Q2&amp;"*")+COUNTIFS('redis-py'!$D:$D, "*"&amp;$Q2&amp;"*")+COUNTIFS(tornado!$D:$D, "*"&amp;$Q2&amp;"*")+COUNTIFS(NetworkX!$D:$D, "*"&amp;$Q2&amp;"*")+COUNTIFS(rich!$D:$D, "*"&amp;$Q2&amp;"*")+COUNTIFS(tensorflow!$D:$D, "*"&amp;$Q2&amp;"*")+COUNTIFS(fastAPI!$D:$D, "*"&amp;$Q2&amp;"*")+COUNTIFS(httpx!$D:$D, "*"&amp;$Q2&amp;"*")+COUNTIFS(transformers!$D:$D, "*"&amp;$Q2&amp;"*")+COUNTIFS(django!$D:$D, "*"&amp;$Q2&amp;"*")+COUNTIFS(xgboost!$D:$D, "*"&amp;$Q2&amp;"*")+COUNTIFS(keras!$D:$D, "*"&amp;$Q2&amp;"*")+COUNTIFS(pytorch!$D:$D, "*"&amp;$Q2&amp;"*")+COUNTIFS(plotly.py!$D:$D, "*"&amp;$Q2&amp;"*")+COUNTIFS(dask!$D:$D, "*"&amp;$Q2&amp;"*")+COUNTIFS(polars!$D:$D, "*"&amp;$Q2&amp;"*")+COUNTIFS(loguru!$D:$D, "*"&amp;$Q2&amp;"*")+COUNTIFS(LightGBM!$D:$D, "*"&amp;$Q2&amp;"*")+COUNTIFS(sympy!$D:$D, "*"&amp;$Q2&amp;"*")+COUNTIFS(spaCy!$D:$D, "*"&amp;$Q2&amp;"*")+COUNTIFS(gensim!$D:$D, "*"&amp;$Q2&amp;"*")+COUNTIFS(jax!$D:$D, "*"&amp;$Q2&amp;"*")+COUNTIFS(aiohttp!$D:$D, "*"&amp;$Q2&amp;"*")+COUNTIFS(faker!$D:$D, "*"&amp;$Q2&amp;"*")</f>
        <v>211</v>
      </c>
      <c r="S2" s="27" t="s">
        <v>718</v>
      </c>
    </row>
    <row r="3" spans="1:26">
      <c r="D3" t="s">
        <v>629</v>
      </c>
      <c r="E3" s="5">
        <f>COUNTIF(request!D:D, "*"&amp;D3&amp;"*")+COUNTIF(numpy!D:D, "*"&amp;D3&amp;"*")+COUNTIF(pandas!D:D, "*"&amp;D3&amp;"*")+COUNTIF(click!D:D, "*"&amp;D3&amp;"*")+COUNTIF(flask!D:D, "*"&amp;D3&amp;"*")+COUNTIF(pydantic!D:D, "*"&amp;D3&amp;"*")+COUNTIF(SciPy!D:D, "*"&amp;D3&amp;"*")+COUNTIF(pillow!D:D, "*"&amp;D3&amp;"*")+COUNTIF('scikit-learn'!D:D, "*"&amp;D3&amp;"*")+COUNTIF(matplotlib!D:D, "*"&amp;D3&amp;"*")+COUNTIF('redis-py'!D:D, "*"&amp;D3&amp;"*")+COUNTIF(tornado!D:D, "*"&amp;D3&amp;"*")+COUNTIF(NetworkX!D:D, "*"&amp;D3&amp;"*")+COUNTIF(rich!D:D, "*"&amp;D3&amp;"*")+COUNTIF(tensorflow!D:D, "*"&amp;D3&amp;"*")+COUNTIF(fastAPI!D:D, "*"&amp;D3&amp;"*")+COUNTIF(httpx!D:D, "*"&amp;D3&amp;"*")+COUNTIF(transformers!D:D, "*"&amp;D3&amp;"*")+COUNTIF(django!D:D, "*"&amp;D3&amp;"*")+COUNTIF(xgboost!D:D, "*"&amp;D3&amp;"*")+COUNTIF(keras!D:D, "*"&amp;D3&amp;"*")+COUNTIF(pytorch!D:D, "*"&amp;D3&amp;"*")+COUNTIF(plotly.py!D:D, "*"&amp;D3&amp;"*")+COUNTIF(dask!D:D, "*"&amp;D3&amp;"*")+COUNTIF(polars!D:D, "*"&amp;D3&amp;"*")+COUNTIF(loguru!D:D, "*"&amp;D3&amp;"*")+COUNTIF(LightGBM!D:D, "*"&amp;D3&amp;"*")+COUNTIF(sympy!D:D, "*"&amp;D3&amp;"*")+COUNTIF(spaCy!D:D, "*"&amp;D3&amp;"*")+COUNTIF(gensim!D:D, "*"&amp;D3&amp;"*")+COUNTIF(jax!D:D, "*"&amp;D3&amp;"*")+COUNTIF(aiohttp!D:D, "*"&amp;D3&amp;"*")+COUNTIF(faker!D:D, "*"&amp;D3&amp;"*")</f>
        <v>1</v>
      </c>
      <c r="I3" t="s">
        <v>682</v>
      </c>
      <c r="J3">
        <f>SUM(E11:E20)</f>
        <v>10</v>
      </c>
      <c r="K3" s="9">
        <f>COUNTIF(request!D:D, "*"&amp;I3&amp;"*")+COUNTIF(numpy!D:D, "*"&amp;I3&amp;"*")+COUNTIF(pandas!D:D, "*"&amp;I3&amp;"*")+COUNTIF(click!D:D, "*"&amp;I3&amp;"*")+COUNTIF(flask!D:D, "*"&amp;I3&amp;"*")+COUNTIF(pydantic!D:D, "*"&amp;I3&amp;"*")+COUNTIF(SciPy!D:D, "*"&amp;I3&amp;"*")+COUNTIF(pillow!D:D, "*"&amp;I3&amp;"*")+COUNTIF('scikit-learn'!D:D, "*"&amp;I3&amp;"*")+COUNTIF(matplotlib!D:D, "*"&amp;I3&amp;"*")+COUNTIF('redis-py'!D:D, "*"&amp;I3&amp;"*")+COUNTIF(tornado!D:D, "*"&amp;I3&amp;"*")+COUNTIF(NetworkX!D:D, "*"&amp;I3&amp;"*")+COUNTIF(rich!D:D, "*"&amp;I3&amp;"*")+COUNTIF(tensorflow!D:D, "*"&amp;I3&amp;"*")+COUNTIF(fastAPI!D:D, "*"&amp;I3&amp;"*")+COUNTIF(httpx!D:D, "*"&amp;I3&amp;"*")+COUNTIF(transformers!D:D, "*"&amp;I3&amp;"*")+COUNTIF(django!D:D, "*"&amp;I3&amp;"*")+COUNTIF(xgboost!D:D, "*"&amp;I3&amp;"*")+COUNTIF(keras!D:D, "*"&amp;I3&amp;"*")+COUNTIF(pytorch!D:D, "*"&amp;I3&amp;"*")+COUNTIF(plotly.py!D:D, "*"&amp;I3&amp;"*")+COUNTIF(dask!D:D, "*"&amp;I3&amp;"*")+COUNTIF(polars!D:D, "*"&amp;I3&amp;"*")+COUNTIF(loguru!D:D, "*"&amp;I3&amp;"*")+COUNTIF(LightGBM!D:D, "*"&amp;I3&amp;"*")+COUNTIF(sympy!D:D, "*"&amp;I3&amp;"*")+COUNTIF(spaCy!D:D, "*"&amp;I3&amp;"*")+COUNTIF(gensim!D:D, "*"&amp;I3&amp;"*")+COUNTIF(jax!D:D, "*"&amp;I3&amp;"*")+COUNTIF(aiohttp!D:D, "*"&amp;I3&amp;"*")+COUNTIF(faker!D:D, "*"&amp;I3&amp;"*")</f>
        <v>10</v>
      </c>
      <c r="L3" s="14">
        <f t="shared" ref="L3:L20" si="0">K3/B$1</f>
        <v>2.6954177897574125E-2</v>
      </c>
      <c r="Q3" t="s">
        <v>704</v>
      </c>
      <c r="R3" s="9">
        <f>COUNTIFS(request!$D:$D, "*"&amp;$Q3&amp;"*")+COUNTIFS(numpy!$D:$D, "*"&amp;$Q3&amp;"*")+COUNTIFS(pandas!$D:$D, "*"&amp;$Q3&amp;"*")+COUNTIFS(click!$D:$D, "*"&amp;$Q3&amp;"*")+COUNTIFS(flask!$D:$D, "*"&amp;$Q3&amp;"*")+COUNTIFS(pydantic!$D:$D, "*"&amp;$Q3&amp;"*")+COUNTIFS(SciPy!$D:$D, "*"&amp;$Q3&amp;"*")+COUNTIFS(pillow!$D:$D, "*"&amp;$Q3&amp;"*")+COUNTIFS('scikit-learn'!$D:$D, "*"&amp;$Q3&amp;"*")+COUNTIFS(matplotlib!$D:$D, "*"&amp;$Q3&amp;"*")+COUNTIFS('redis-py'!$D:$D, "*"&amp;$Q3&amp;"*")+COUNTIFS(tornado!$D:$D, "*"&amp;$Q3&amp;"*")+COUNTIFS(NetworkX!$D:$D, "*"&amp;$Q3&amp;"*")+COUNTIFS(rich!$D:$D, "*"&amp;$Q3&amp;"*")+COUNTIFS(tensorflow!$D:$D, "*"&amp;$Q3&amp;"*")+COUNTIFS(fastAPI!$D:$D, "*"&amp;$Q3&amp;"*")+COUNTIFS(httpx!$D:$D, "*"&amp;$Q3&amp;"*")+COUNTIFS(transformers!$D:$D, "*"&amp;$Q3&amp;"*")+COUNTIFS(django!$D:$D, "*"&amp;$Q3&amp;"*")+COUNTIFS(xgboost!$D:$D, "*"&amp;$Q3&amp;"*")+COUNTIFS(keras!$D:$D, "*"&amp;$Q3&amp;"*")+COUNTIFS(pytorch!$D:$D, "*"&amp;$Q3&amp;"*")+COUNTIFS(plotly.py!$D:$D, "*"&amp;$Q3&amp;"*")+COUNTIFS(dask!$D:$D, "*"&amp;$Q3&amp;"*")+COUNTIFS(polars!$D:$D, "*"&amp;$Q3&amp;"*")+COUNTIFS(loguru!$D:$D, "*"&amp;$Q3&amp;"*")+COUNTIFS(LightGBM!$D:$D, "*"&amp;$Q3&amp;"*")+COUNTIFS(sympy!$D:$D, "*"&amp;$Q3&amp;"*")+COUNTIFS(spaCy!$D:$D, "*"&amp;$Q3&amp;"*")+COUNTIFS(gensim!$D:$D, "*"&amp;$Q3&amp;"*")+COUNTIFS(jax!$D:$D, "*"&amp;$Q3&amp;"*")+COUNTIFS(aiohttp!$D:$D, "*"&amp;$Q3&amp;"*")+COUNTIFS(faker!$D:$D, "*"&amp;$Q3&amp;"*")</f>
        <v>156</v>
      </c>
      <c r="S3" s="9">
        <v>119</v>
      </c>
      <c r="T3" t="s">
        <v>719</v>
      </c>
    </row>
    <row r="4" spans="1:26">
      <c r="D4" t="s">
        <v>556</v>
      </c>
      <c r="E4" s="5">
        <f>COUNTIF(request!D:D, "*"&amp;D4&amp;"*")+COUNTIF(numpy!D:D, "*"&amp;D4&amp;"*")+COUNTIF(pandas!D:D, "*"&amp;D4&amp;"*")+COUNTIF(click!D:D, "*"&amp;D4&amp;"*")+COUNTIF(flask!D:D, "*"&amp;D4&amp;"*")+COUNTIF(pydantic!D:D, "*"&amp;D4&amp;"*")+COUNTIF(SciPy!D:D, "*"&amp;D4&amp;"*")+COUNTIF(pillow!D:D, "*"&amp;D4&amp;"*")+COUNTIF('scikit-learn'!D:D, "*"&amp;D4&amp;"*")+COUNTIF(matplotlib!D:D, "*"&amp;D4&amp;"*")+COUNTIF('redis-py'!D:D, "*"&amp;D4&amp;"*")+COUNTIF(tornado!D:D, "*"&amp;D4&amp;"*")+COUNTIF(NetworkX!D:D, "*"&amp;D4&amp;"*")+COUNTIF(rich!D:D, "*"&amp;D4&amp;"*")+COUNTIF(tensorflow!D:D, "*"&amp;D4&amp;"*")+COUNTIF(fastAPI!D:D, "*"&amp;D4&amp;"*")+COUNTIF(httpx!D:D, "*"&amp;D4&amp;"*")+COUNTIF(transformers!D:D, "*"&amp;D4&amp;"*")+COUNTIF(django!D:D, "*"&amp;D4&amp;"*")+COUNTIF(xgboost!D:D, "*"&amp;D4&amp;"*")+COUNTIF(keras!D:D, "*"&amp;D4&amp;"*")+COUNTIF(pytorch!D:D, "*"&amp;D4&amp;"*")+COUNTIF(plotly.py!D:D, "*"&amp;D4&amp;"*")+COUNTIF(dask!D:D, "*"&amp;D4&amp;"*")+COUNTIF(polars!D:D, "*"&amp;D4&amp;"*")+COUNTIF(loguru!D:D, "*"&amp;D4&amp;"*")+COUNTIF(LightGBM!D:D, "*"&amp;D4&amp;"*")+COUNTIF(sympy!D:D, "*"&amp;D4&amp;"*")+COUNTIF(spaCy!D:D, "*"&amp;D4&amp;"*")+COUNTIF(gensim!D:D, "*"&amp;D4&amp;"*")+COUNTIF(jax!D:D, "*"&amp;D4&amp;"*")+COUNTIF(aiohttp!D:D, "*"&amp;D4&amp;"*")+COUNTIF(faker!D:D, "*"&amp;D4&amp;"*")</f>
        <v>187</v>
      </c>
      <c r="I4" t="s">
        <v>683</v>
      </c>
      <c r="J4" s="13">
        <f>E21+E22+E23</f>
        <v>5</v>
      </c>
      <c r="K4" s="9">
        <f>COUNTIF(request!D:D, "*"&amp;I4&amp;"*")+COUNTIF(numpy!D:D, "*"&amp;I4&amp;"*")+COUNTIF(pandas!D:D, "*"&amp;I4&amp;"*")+COUNTIF(click!D:D, "*"&amp;I4&amp;"*")+COUNTIF(flask!D:D, "*"&amp;I4&amp;"*")+COUNTIF(pydantic!D:D, "*"&amp;I4&amp;"*")+COUNTIF(SciPy!D:D, "*"&amp;I4&amp;"*")+COUNTIF(pillow!D:D, "*"&amp;I4&amp;"*")+COUNTIF('scikit-learn'!D:D, "*"&amp;I4&amp;"*")+COUNTIF(matplotlib!D:D, "*"&amp;I4&amp;"*")+COUNTIF('redis-py'!D:D, "*"&amp;I4&amp;"*")+COUNTIF(tornado!D:D, "*"&amp;I4&amp;"*")+COUNTIF(NetworkX!D:D, "*"&amp;I4&amp;"*")+COUNTIF(rich!D:D, "*"&amp;I4&amp;"*")+COUNTIF(tensorflow!D:D, "*"&amp;I4&amp;"*")+COUNTIF(fastAPI!D:D, "*"&amp;I4&amp;"*")+COUNTIF(httpx!D:D, "*"&amp;I4&amp;"*")+COUNTIF(transformers!D:D, "*"&amp;I4&amp;"*")+COUNTIF(django!D:D, "*"&amp;I4&amp;"*")+COUNTIF(xgboost!D:D, "*"&amp;I4&amp;"*")+COUNTIF(keras!D:D, "*"&amp;I4&amp;"*")+COUNTIF(pytorch!D:D, "*"&amp;I4&amp;"*")+COUNTIF(plotly.py!D:D, "*"&amp;I4&amp;"*")+COUNTIF(dask!D:D, "*"&amp;I4&amp;"*")+COUNTIF(polars!D:D, "*"&amp;I4&amp;"*")+COUNTIF(loguru!D:D, "*"&amp;I4&amp;"*")+COUNTIF(LightGBM!D:D, "*"&amp;I4&amp;"*")+COUNTIF(sympy!D:D, "*"&amp;I4&amp;"*")+COUNTIF(spaCy!D:D, "*"&amp;I4&amp;"*")+COUNTIF(gensim!D:D, "*"&amp;I4&amp;"*")+COUNTIF(jax!D:D, "*"&amp;I4&amp;"*")+COUNTIF(aiohttp!D:D, "*"&amp;I4&amp;"*")+COUNTIF(faker!D:D, "*"&amp;I4&amp;"*")</f>
        <v>3</v>
      </c>
      <c r="L4" s="14">
        <f t="shared" si="0"/>
        <v>8.0862533692722376E-3</v>
      </c>
      <c r="Q4" s="13" t="s">
        <v>705</v>
      </c>
      <c r="R4" s="9">
        <f>COUNTIFS(request!$D:$D, "*"&amp;$Q4&amp;"*")+COUNTIFS(numpy!$D:$D, "*"&amp;$Q4&amp;"*")+COUNTIFS(pandas!$D:$D, "*"&amp;$Q4&amp;"*")+COUNTIFS(click!$D:$D, "*"&amp;$Q4&amp;"*")+COUNTIFS(flask!$D:$D, "*"&amp;$Q4&amp;"*")+COUNTIFS(pydantic!$D:$D, "*"&amp;$Q4&amp;"*")+COUNTIFS(SciPy!$D:$D, "*"&amp;$Q4&amp;"*")+COUNTIFS(pillow!$D:$D, "*"&amp;$Q4&amp;"*")+COUNTIFS('scikit-learn'!$D:$D, "*"&amp;$Q4&amp;"*")+COUNTIFS(matplotlib!$D:$D, "*"&amp;$Q4&amp;"*")+COUNTIFS('redis-py'!$D:$D, "*"&amp;$Q4&amp;"*")+COUNTIFS(tornado!$D:$D, "*"&amp;$Q4&amp;"*")+COUNTIFS(NetworkX!$D:$D, "*"&amp;$Q4&amp;"*")+COUNTIFS(rich!$D:$D, "*"&amp;$Q4&amp;"*")+COUNTIFS(tensorflow!$D:$D, "*"&amp;$Q4&amp;"*")+COUNTIFS(fastAPI!$D:$D, "*"&amp;$Q4&amp;"*")+COUNTIFS(httpx!$D:$D, "*"&amp;$Q4&amp;"*")+COUNTIFS(transformers!$D:$D, "*"&amp;$Q4&amp;"*")+COUNTIFS(django!$D:$D, "*"&amp;$Q4&amp;"*")+COUNTIFS(xgboost!$D:$D, "*"&amp;$Q4&amp;"*")+COUNTIFS(keras!$D:$D, "*"&amp;$Q4&amp;"*")+COUNTIFS(pytorch!$D:$D, "*"&amp;$Q4&amp;"*")+COUNTIFS(plotly.py!$D:$D, "*"&amp;$Q4&amp;"*")+COUNTIFS(dask!$D:$D, "*"&amp;$Q4&amp;"*")+COUNTIFS(polars!$D:$D, "*"&amp;$Q4&amp;"*")+COUNTIFS(loguru!$D:$D, "*"&amp;$Q4&amp;"*")+COUNTIFS(LightGBM!$D:$D, "*"&amp;$Q4&amp;"*")+COUNTIFS(sympy!$D:$D, "*"&amp;$Q4&amp;"*")+COUNTIFS(spaCy!$D:$D, "*"&amp;$Q4&amp;"*")+COUNTIFS(gensim!$D:$D, "*"&amp;$Q4&amp;"*")+COUNTIFS(jax!$D:$D, "*"&amp;$Q4&amp;"*")+COUNTIFS(aiohttp!$D:$D, "*"&amp;$Q4&amp;"*")+COUNTIFS(faker!$D:$D, "*"&amp;$Q4&amp;"*")</f>
        <v>96</v>
      </c>
      <c r="S4">
        <f>T4/R4</f>
        <v>7.2916666666666671E-2</v>
      </c>
      <c r="T4">
        <v>7</v>
      </c>
    </row>
    <row r="5" spans="1:26">
      <c r="D5" t="s">
        <v>615</v>
      </c>
      <c r="E5" s="5">
        <f>COUNTIF(request!D:D, "*"&amp;D5&amp;"*")+COUNTIF(numpy!D:D, "*"&amp;D5&amp;"*")+COUNTIF(pandas!D:D, "*"&amp;D5&amp;"*")+COUNTIF(click!D:D, "*"&amp;D5&amp;"*")+COUNTIF(flask!D:D, "*"&amp;D5&amp;"*")+COUNTIF(pydantic!D:D, "*"&amp;D5&amp;"*")+COUNTIF(SciPy!D:D, "*"&amp;D5&amp;"*")+COUNTIF(pillow!D:D, "*"&amp;D5&amp;"*")+COUNTIF('scikit-learn'!D:D, "*"&amp;D5&amp;"*")+COUNTIF(matplotlib!D:D, "*"&amp;D5&amp;"*")+COUNTIF('redis-py'!D:D, "*"&amp;D5&amp;"*")+COUNTIF(tornado!D:D, "*"&amp;D5&amp;"*")+COUNTIF(NetworkX!D:D, "*"&amp;D5&amp;"*")+COUNTIF(rich!D:D, "*"&amp;D5&amp;"*")+COUNTIF(tensorflow!D:D, "*"&amp;D5&amp;"*")+COUNTIF(fastAPI!D:D, "*"&amp;D5&amp;"*")+COUNTIF(httpx!D:D, "*"&amp;D5&amp;"*")+COUNTIF(transformers!D:D, "*"&amp;D5&amp;"*")+COUNTIF(django!D:D, "*"&amp;D5&amp;"*")+COUNTIF(xgboost!D:D, "*"&amp;D5&amp;"*")+COUNTIF(keras!D:D, "*"&amp;D5&amp;"*")+COUNTIF(pytorch!D:D, "*"&amp;D5&amp;"*")+COUNTIF(plotly.py!D:D, "*"&amp;D5&amp;"*")+COUNTIF(dask!D:D, "*"&amp;D5&amp;"*")+COUNTIF(polars!D:D, "*"&amp;D5&amp;"*")+COUNTIF(loguru!D:D, "*"&amp;D5&amp;"*")+COUNTIF(LightGBM!D:D, "*"&amp;D5&amp;"*")+COUNTIF(sympy!D:D, "*"&amp;D5&amp;"*")+COUNTIF(spaCy!D:D, "*"&amp;D5&amp;"*")+COUNTIF(gensim!D:D, "*"&amp;D5&amp;"*")+COUNTIF(jax!D:D, "*"&amp;D5&amp;"*")+COUNTIF(aiohttp!D:D, "*"&amp;D5&amp;"*")+COUNTIF(faker!D:D, "*"&amp;D5&amp;"*")</f>
        <v>15</v>
      </c>
      <c r="F5">
        <f>E5-E6</f>
        <v>12</v>
      </c>
      <c r="I5" t="s">
        <v>680</v>
      </c>
      <c r="J5">
        <f>E24</f>
        <v>3</v>
      </c>
      <c r="K5" s="5">
        <f>COUNTIF(request!D:D, "*"&amp;I5&amp;"*")+COUNTIF(numpy!D:D, "*"&amp;I5&amp;"*")+COUNTIF(pandas!D:D, "*"&amp;I5&amp;"*")+COUNTIF(click!D:D, "*"&amp;I5&amp;"*")+COUNTIF(flask!D:D, "*"&amp;I5&amp;"*")+COUNTIF(pydantic!D:D, "*"&amp;I5&amp;"*")+COUNTIF(SciPy!D:D, "*"&amp;I5&amp;"*")+COUNTIF(pillow!D:D, "*"&amp;I5&amp;"*")+COUNTIF('scikit-learn'!D:D, "*"&amp;I5&amp;"*")+COUNTIF(matplotlib!D:D, "*"&amp;I5&amp;"*")+COUNTIF('redis-py'!D:D, "*"&amp;I5&amp;"*")+COUNTIF(tornado!D:D, "*"&amp;I5&amp;"*")+COUNTIF(NetworkX!D:D, "*"&amp;I5&amp;"*")+COUNTIF(rich!D:D, "*"&amp;I5&amp;"*")+COUNTIF(tensorflow!D:D, "*"&amp;I5&amp;"*")+COUNTIF(fastAPI!D:D, "*"&amp;I5&amp;"*")+COUNTIF(httpx!D:D, "*"&amp;I5&amp;"*")+COUNTIF(transformers!D:D, "*"&amp;I5&amp;"*")+COUNTIF(django!D:D, "*"&amp;I5&amp;"*")+COUNTIF(xgboost!D:D, "*"&amp;I5&amp;"*")+COUNTIF(keras!D:D, "*"&amp;I5&amp;"*")+COUNTIF(pytorch!D:D, "*"&amp;I5&amp;"*")+COUNTIF(plotly.py!D:D, "*"&amp;I5&amp;"*")+COUNTIF(dask!D:D, "*"&amp;I5&amp;"*")+COUNTIF(polars!D:D, "*"&amp;I5&amp;"*")+COUNTIF(loguru!D:D, "*"&amp;I5&amp;"*")+COUNTIF(LightGBM!D:D, "*"&amp;I5&amp;"*")+COUNTIF(sympy!D:D, "*"&amp;I5&amp;"*")+COUNTIF(spaCy!D:D, "*"&amp;I5&amp;"*")+COUNTIF(gensim!D:D, "*"&amp;I5&amp;"*")+COUNTIF(jax!D:D, "*"&amp;I5&amp;"*")+COUNTIF(aiohttp!D:D, "*"&amp;I5&amp;"*")+COUNTIF(faker!D:D, "*"&amp;I5&amp;"*")</f>
        <v>3</v>
      </c>
      <c r="L5" s="14">
        <f t="shared" si="0"/>
        <v>8.0862533692722376E-3</v>
      </c>
      <c r="Q5" t="s">
        <v>706</v>
      </c>
      <c r="R5" s="9">
        <f>COUNTIFS(request!$D:$D, "*"&amp;$Q5&amp;"*")+COUNTIFS(numpy!$D:$D, "*"&amp;$Q5&amp;"*")+COUNTIFS(pandas!$D:$D, "*"&amp;$Q5&amp;"*")+COUNTIFS(click!$D:$D, "*"&amp;$Q5&amp;"*")+COUNTIFS(flask!$D:$D, "*"&amp;$Q5&amp;"*")+COUNTIFS(pydantic!$D:$D, "*"&amp;$Q5&amp;"*")+COUNTIFS(SciPy!$D:$D, "*"&amp;$Q5&amp;"*")+COUNTIFS(pillow!$D:$D, "*"&amp;$Q5&amp;"*")+COUNTIFS('scikit-learn'!$D:$D, "*"&amp;$Q5&amp;"*")+COUNTIFS(matplotlib!$D:$D, "*"&amp;$Q5&amp;"*")+COUNTIFS('redis-py'!$D:$D, "*"&amp;$Q5&amp;"*")+COUNTIFS(tornado!$D:$D, "*"&amp;$Q5&amp;"*")+COUNTIFS(NetworkX!$D:$D, "*"&amp;$Q5&amp;"*")+COUNTIFS(rich!$D:$D, "*"&amp;$Q5&amp;"*")+COUNTIFS(tensorflow!$D:$D, "*"&amp;$Q5&amp;"*")+COUNTIFS(fastAPI!$D:$D, "*"&amp;$Q5&amp;"*")+COUNTIFS(httpx!$D:$D, "*"&amp;$Q5&amp;"*")+COUNTIFS(transformers!$D:$D, "*"&amp;$Q5&amp;"*")+COUNTIFS(django!$D:$D, "*"&amp;$Q5&amp;"*")+COUNTIFS(xgboost!$D:$D, "*"&amp;$Q5&amp;"*")+COUNTIFS(keras!$D:$D, "*"&amp;$Q5&amp;"*")+COUNTIFS(pytorch!$D:$D, "*"&amp;$Q5&amp;"*")+COUNTIFS(plotly.py!$D:$D, "*"&amp;$Q5&amp;"*")+COUNTIFS(dask!$D:$D, "*"&amp;$Q5&amp;"*")+COUNTIFS(polars!$D:$D, "*"&amp;$Q5&amp;"*")+COUNTIFS(loguru!$D:$D, "*"&amp;$Q5&amp;"*")+COUNTIFS(LightGBM!$D:$D, "*"&amp;$Q5&amp;"*")+COUNTIFS(sympy!$D:$D, "*"&amp;$Q5&amp;"*")+COUNTIFS(spaCy!$D:$D, "*"&amp;$Q5&amp;"*")+COUNTIFS(gensim!$D:$D, "*"&amp;$Q5&amp;"*")+COUNTIFS(jax!$D:$D, "*"&amp;$Q5&amp;"*")+COUNTIFS(aiohttp!$D:$D, "*"&amp;$Q5&amp;"*")+COUNTIFS(faker!$D:$D, "*"&amp;$Q5&amp;"*")</f>
        <v>27</v>
      </c>
      <c r="S5">
        <f>T5/R5</f>
        <v>0.22222222222222221</v>
      </c>
      <c r="T5">
        <v>6</v>
      </c>
      <c r="U5" t="s">
        <v>720</v>
      </c>
    </row>
    <row r="6" spans="1:26">
      <c r="D6" t="s">
        <v>659</v>
      </c>
      <c r="E6" s="5">
        <f>COUNTIF(request!D:D, "*"&amp;D6&amp;"*")+COUNTIF(numpy!D:D, "*"&amp;D6&amp;"*")+COUNTIF(pandas!D:D, "*"&amp;D6&amp;"*")+COUNTIF(click!D:D, "*"&amp;D6&amp;"*")+COUNTIF(flask!D:D, "*"&amp;D6&amp;"*")+COUNTIF(pydantic!D:D, "*"&amp;D6&amp;"*")+COUNTIF(SciPy!D:D, "*"&amp;D6&amp;"*")+COUNTIF(pillow!D:D, "*"&amp;D6&amp;"*")+COUNTIF('scikit-learn'!D:D, "*"&amp;D6&amp;"*")+COUNTIF(matplotlib!D:D, "*"&amp;D6&amp;"*")+COUNTIF('redis-py'!D:D, "*"&amp;D6&amp;"*")+COUNTIF(tornado!D:D, "*"&amp;D6&amp;"*")+COUNTIF(NetworkX!D:D, "*"&amp;D6&amp;"*")+COUNTIF(rich!D:D, "*"&amp;D6&amp;"*")+COUNTIF(tensorflow!D:D, "*"&amp;D6&amp;"*")+COUNTIF(fastAPI!D:D, "*"&amp;D6&amp;"*")+COUNTIF(httpx!D:D, "*"&amp;D6&amp;"*")+COUNTIF(transformers!D:D, "*"&amp;D6&amp;"*")+COUNTIF(django!D:D, "*"&amp;D6&amp;"*")+COUNTIF(xgboost!D:D, "*"&amp;D6&amp;"*")+COUNTIF(keras!D:D, "*"&amp;D6&amp;"*")+COUNTIF(pytorch!D:D, "*"&amp;D6&amp;"*")+COUNTIF(plotly.py!D:D, "*"&amp;D6&amp;"*")+COUNTIF(dask!D:D, "*"&amp;D6&amp;"*")+COUNTIF(polars!D:D, "*"&amp;D6&amp;"*")+COUNTIF(loguru!D:D, "*"&amp;D6&amp;"*")+COUNTIF(LightGBM!D:D, "*"&amp;D6&amp;"*")+COUNTIF(sympy!D:D, "*"&amp;D6&amp;"*")+COUNTIF(spaCy!D:D, "*"&amp;D6&amp;"*")+COUNTIF(gensim!D:D, "*"&amp;D6&amp;"*")+COUNTIF(jax!D:D, "*"&amp;D6&amp;"*")+COUNTIF(aiohttp!D:D, "*"&amp;D6&amp;"*")+COUNTIF(faker!D:D, "*"&amp;D6&amp;"*")</f>
        <v>3</v>
      </c>
      <c r="I6" t="s">
        <v>612</v>
      </c>
      <c r="J6">
        <f>E25</f>
        <v>6</v>
      </c>
      <c r="K6" s="5">
        <f>COUNTIF(request!D:D, "*"&amp;I6&amp;"*")+COUNTIF(numpy!D:D, "*"&amp;I6&amp;"*")+COUNTIF(pandas!D:D, "*"&amp;I6&amp;"*")+COUNTIF(click!D:D, "*"&amp;I6&amp;"*")+COUNTIF(flask!D:D, "*"&amp;I6&amp;"*")+COUNTIF(pydantic!D:D, "*"&amp;I6&amp;"*")+COUNTIF(SciPy!D:D, "*"&amp;I6&amp;"*")+COUNTIF(pillow!D:D, "*"&amp;I6&amp;"*")+COUNTIF('scikit-learn'!D:D, "*"&amp;I6&amp;"*")+COUNTIF(matplotlib!D:D, "*"&amp;I6&amp;"*")+COUNTIF('redis-py'!D:D, "*"&amp;I6&amp;"*")+COUNTIF(tornado!D:D, "*"&amp;I6&amp;"*")+COUNTIF(NetworkX!D:D, "*"&amp;I6&amp;"*")+COUNTIF(rich!D:D, "*"&amp;I6&amp;"*")+COUNTIF(tensorflow!D:D, "*"&amp;I6&amp;"*")+COUNTIF(fastAPI!D:D, "*"&amp;I6&amp;"*")+COUNTIF(httpx!D:D, "*"&amp;I6&amp;"*")+COUNTIF(transformers!D:D, "*"&amp;I6&amp;"*")+COUNTIF(django!D:D, "*"&amp;I6&amp;"*")+COUNTIF(xgboost!D:D, "*"&amp;I6&amp;"*")+COUNTIF(keras!D:D, "*"&amp;I6&amp;"*")+COUNTIF(pytorch!D:D, "*"&amp;I6&amp;"*")+COUNTIF(plotly.py!D:D, "*"&amp;I6&amp;"*")+COUNTIF(dask!D:D, "*"&amp;I6&amp;"*")+COUNTIF(polars!D:D, "*"&amp;I6&amp;"*")+COUNTIF(loguru!D:D, "*"&amp;I6&amp;"*")+COUNTIF(LightGBM!D:D, "*"&amp;I6&amp;"*")+COUNTIF(sympy!D:D, "*"&amp;I6&amp;"*")+COUNTIF(spaCy!D:D, "*"&amp;I6&amp;"*")+COUNTIF(gensim!D:D, "*"&amp;I6&amp;"*")+COUNTIF(jax!D:D, "*"&amp;I6&amp;"*")+COUNTIF(aiohttp!D:D, "*"&amp;I6&amp;"*")+COUNTIF(faker!D:D, "*"&amp;I6&amp;"*")</f>
        <v>6</v>
      </c>
      <c r="L6" s="14">
        <f t="shared" si="0"/>
        <v>1.6172506738544475E-2</v>
      </c>
      <c r="Q6" t="s">
        <v>707</v>
      </c>
      <c r="R6" s="9">
        <f>COUNTIFS(request!$D:$D, "*"&amp;$Q6&amp;"*")+COUNTIFS(numpy!$D:$D, "*"&amp;$Q6&amp;"*")+COUNTIFS(pandas!$D:$D, "*"&amp;$Q6&amp;"*")+COUNTIFS(click!$D:$D, "*"&amp;$Q6&amp;"*")+COUNTIFS(flask!$D:$D, "*"&amp;$Q6&amp;"*")+COUNTIFS(pydantic!$D:$D, "*"&amp;$Q6&amp;"*")+COUNTIFS(SciPy!$D:$D, "*"&amp;$Q6&amp;"*")+COUNTIFS(pillow!$D:$D, "*"&amp;$Q6&amp;"*")+COUNTIFS('scikit-learn'!$D:$D, "*"&amp;$Q6&amp;"*")+COUNTIFS(matplotlib!$D:$D, "*"&amp;$Q6&amp;"*")+COUNTIFS('redis-py'!$D:$D, "*"&amp;$Q6&amp;"*")+COUNTIFS(tornado!$D:$D, "*"&amp;$Q6&amp;"*")+COUNTIFS(NetworkX!$D:$D, "*"&amp;$Q6&amp;"*")+COUNTIFS(rich!$D:$D, "*"&amp;$Q6&amp;"*")+COUNTIFS(tensorflow!$D:$D, "*"&amp;$Q6&amp;"*")+COUNTIFS(fastAPI!$D:$D, "*"&amp;$Q6&amp;"*")+COUNTIFS(httpx!$D:$D, "*"&amp;$Q6&amp;"*")+COUNTIFS(transformers!$D:$D, "*"&amp;$Q6&amp;"*")+COUNTIFS(django!$D:$D, "*"&amp;$Q6&amp;"*")+COUNTIFS(xgboost!$D:$D, "*"&amp;$Q6&amp;"*")+COUNTIFS(keras!$D:$D, "*"&amp;$Q6&amp;"*")+COUNTIFS(pytorch!$D:$D, "*"&amp;$Q6&amp;"*")+COUNTIFS(plotly.py!$D:$D, "*"&amp;$Q6&amp;"*")+COUNTIFS(dask!$D:$D, "*"&amp;$Q6&amp;"*")+COUNTIFS(polars!$D:$D, "*"&amp;$Q6&amp;"*")+COUNTIFS(loguru!$D:$D, "*"&amp;$Q6&amp;"*")+COUNTIFS(LightGBM!$D:$D, "*"&amp;$Q6&amp;"*")+COUNTIFS(sympy!$D:$D, "*"&amp;$Q6&amp;"*")+COUNTIFS(spaCy!$D:$D, "*"&amp;$Q6&amp;"*")+COUNTIFS(gensim!$D:$D, "*"&amp;$Q6&amp;"*")+COUNTIFS(jax!$D:$D, "*"&amp;$Q6&amp;"*")+COUNTIFS(aiohttp!$D:$D, "*"&amp;$Q6&amp;"*")+COUNTIFS(faker!$D:$D, "*"&amp;$Q6&amp;"*")</f>
        <v>24</v>
      </c>
      <c r="T6" s="26">
        <f>4/24</f>
        <v>0.16666666666666666</v>
      </c>
      <c r="U6">
        <v>4</v>
      </c>
      <c r="V6" t="s">
        <v>721</v>
      </c>
    </row>
    <row r="7" spans="1:26">
      <c r="D7" t="s">
        <v>568</v>
      </c>
      <c r="E7" s="5">
        <f>COUNTIF(request!D:D, "*"&amp;D7&amp;"*")+COUNTIF(numpy!D:D, "*"&amp;D7&amp;"*")+COUNTIF(pandas!D:D, "*"&amp;D7&amp;"*")+COUNTIF(click!D:D, "*"&amp;D7&amp;"*")+COUNTIF(flask!D:D, "*"&amp;D7&amp;"*")+COUNTIF(pydantic!D:D, "*"&amp;D7&amp;"*")+COUNTIF(SciPy!D:D, "*"&amp;D7&amp;"*")+COUNTIF(pillow!D:D, "*"&amp;D7&amp;"*")+COUNTIF('scikit-learn'!D:D, "*"&amp;D7&amp;"*")+COUNTIF(matplotlib!D:D, "*"&amp;D7&amp;"*")+COUNTIF('redis-py'!D:D, "*"&amp;D7&amp;"*")+COUNTIF(tornado!D:D, "*"&amp;D7&amp;"*")+COUNTIF(NetworkX!D:D, "*"&amp;D7&amp;"*")+COUNTIF(rich!D:D, "*"&amp;D7&amp;"*")+COUNTIF(tensorflow!D:D, "*"&amp;D7&amp;"*")+COUNTIF(fastAPI!D:D, "*"&amp;D7&amp;"*")+COUNTIF(httpx!D:D, "*"&amp;D7&amp;"*")+COUNTIF(transformers!D:D, "*"&amp;D7&amp;"*")+COUNTIF(django!D:D, "*"&amp;D7&amp;"*")+COUNTIF(xgboost!D:D, "*"&amp;D7&amp;"*")+COUNTIF(keras!D:D, "*"&amp;D7&amp;"*")+COUNTIF(pytorch!D:D, "*"&amp;D7&amp;"*")+COUNTIF(plotly.py!D:D, "*"&amp;D7&amp;"*")+COUNTIF(dask!D:D, "*"&amp;D7&amp;"*")+COUNTIF(polars!D:D, "*"&amp;D7&amp;"*")+COUNTIF(loguru!D:D, "*"&amp;D7&amp;"*")+COUNTIF(LightGBM!D:D, "*"&amp;D7&amp;"*")+COUNTIF(sympy!D:D, "*"&amp;D7&amp;"*")+COUNTIF(spaCy!D:D, "*"&amp;D7&amp;"*")+COUNTIF(gensim!D:D, "*"&amp;D7&amp;"*")+COUNTIF(jax!D:D, "*"&amp;D7&amp;"*")+COUNTIF(aiohttp!D:D, "*"&amp;D7&amp;"*")+COUNTIF(faker!D:D, "*"&amp;D7&amp;"*")</f>
        <v>133</v>
      </c>
      <c r="F7">
        <f>E7-E8</f>
        <v>18</v>
      </c>
      <c r="I7" t="s">
        <v>684</v>
      </c>
      <c r="J7">
        <f>E26+E27+E33</f>
        <v>27</v>
      </c>
      <c r="K7" s="5">
        <f>COUNTIF(request!D:D, "*"&amp;I7&amp;"*")+COUNTIF(numpy!D:D, "*"&amp;I7&amp;"*")+COUNTIF(pandas!D:D, "*"&amp;I7&amp;"*")+COUNTIF(click!D:D, "*"&amp;I7&amp;"*")+COUNTIF(flask!D:D, "*"&amp;I7&amp;"*")+COUNTIF(pydantic!D:D, "*"&amp;I7&amp;"*")+COUNTIF(SciPy!D:D, "*"&amp;I7&amp;"*")+COUNTIF(pillow!D:D, "*"&amp;I7&amp;"*")+COUNTIF('scikit-learn'!D:D, "*"&amp;I7&amp;"*")+COUNTIF(matplotlib!D:D, "*"&amp;I7&amp;"*")+COUNTIF('redis-py'!D:D, "*"&amp;I7&amp;"*")+COUNTIF(tornado!D:D, "*"&amp;I7&amp;"*")+COUNTIF(NetworkX!D:D, "*"&amp;I7&amp;"*")+COUNTIF(rich!D:D, "*"&amp;I7&amp;"*")+COUNTIF(tensorflow!D:D, "*"&amp;I7&amp;"*")+COUNTIF(fastAPI!D:D, "*"&amp;I7&amp;"*")+COUNTIF(httpx!D:D, "*"&amp;I7&amp;"*")+COUNTIF(transformers!D:D, "*"&amp;I7&amp;"*")+COUNTIF(django!D:D, "*"&amp;I7&amp;"*")+COUNTIF(xgboost!D:D, "*"&amp;I7&amp;"*")+COUNTIF(keras!D:D, "*"&amp;I7&amp;"*")+COUNTIF(pytorch!D:D, "*"&amp;I7&amp;"*")+COUNTIF(plotly.py!D:D, "*"&amp;I7&amp;"*")+COUNTIF(dask!D:D, "*"&amp;I7&amp;"*")+COUNTIF(polars!D:D, "*"&amp;I7&amp;"*")+COUNTIF(loguru!D:D, "*"&amp;I7&amp;"*")+COUNTIF(LightGBM!D:D, "*"&amp;I7&amp;"*")+COUNTIF(sympy!D:D, "*"&amp;I7&amp;"*")+COUNTIF(spaCy!D:D, "*"&amp;I7&amp;"*")+COUNTIF(gensim!D:D, "*"&amp;I7&amp;"*")+COUNTIF(jax!D:D, "*"&amp;I7&amp;"*")+COUNTIF(aiohttp!D:D, "*"&amp;I7&amp;"*")+COUNTIF(faker!D:D, "*"&amp;I7&amp;"*")</f>
        <v>27</v>
      </c>
      <c r="L7" s="14">
        <f t="shared" si="0"/>
        <v>7.277628032345014E-2</v>
      </c>
      <c r="Q7" s="13" t="s">
        <v>709</v>
      </c>
      <c r="R7" s="9">
        <f>COUNTIFS(request!$D:$D, "*"&amp;$Q7&amp;"*")+COUNTIFS(numpy!$D:$D, "*"&amp;$Q7&amp;"*")+COUNTIFS(pandas!$D:$D, "*"&amp;$Q7&amp;"*")+COUNTIFS(click!$D:$D, "*"&amp;$Q7&amp;"*")+COUNTIFS(flask!$D:$D, "*"&amp;$Q7&amp;"*")+COUNTIFS(pydantic!$D:$D, "*"&amp;$Q7&amp;"*")+COUNTIFS(SciPy!$D:$D, "*"&amp;$Q7&amp;"*")+COUNTIFS(pillow!$D:$D, "*"&amp;$Q7&amp;"*")+COUNTIFS('scikit-learn'!$D:$D, "*"&amp;$Q7&amp;"*")+COUNTIFS(matplotlib!$D:$D, "*"&amp;$Q7&amp;"*")+COUNTIFS('redis-py'!$D:$D, "*"&amp;$Q7&amp;"*")+COUNTIFS(tornado!$D:$D, "*"&amp;$Q7&amp;"*")+COUNTIFS(NetworkX!$D:$D, "*"&amp;$Q7&amp;"*")+COUNTIFS(rich!$D:$D, "*"&amp;$Q7&amp;"*")+COUNTIFS(tensorflow!$D:$D, "*"&amp;$Q7&amp;"*")+COUNTIFS(fastAPI!$D:$D, "*"&amp;$Q7&amp;"*")+COUNTIFS(httpx!$D:$D, "*"&amp;$Q7&amp;"*")+COUNTIFS(transformers!$D:$D, "*"&amp;$Q7&amp;"*")+COUNTIFS(django!$D:$D, "*"&amp;$Q7&amp;"*")+COUNTIFS(xgboost!$D:$D, "*"&amp;$Q7&amp;"*")+COUNTIFS(keras!$D:$D, "*"&amp;$Q7&amp;"*")+COUNTIFS(pytorch!$D:$D, "*"&amp;$Q7&amp;"*")+COUNTIFS(plotly.py!$D:$D, "*"&amp;$Q7&amp;"*")+COUNTIFS(dask!$D:$D, "*"&amp;$Q7&amp;"*")+COUNTIFS(polars!$D:$D, "*"&amp;$Q7&amp;"*")+COUNTIFS(loguru!$D:$D, "*"&amp;$Q7&amp;"*")+COUNTIFS(LightGBM!$D:$D, "*"&amp;$Q7&amp;"*")+COUNTIFS(sympy!$D:$D, "*"&amp;$Q7&amp;"*")+COUNTIFS(spaCy!$D:$D, "*"&amp;$Q7&amp;"*")+COUNTIFS(gensim!$D:$D, "*"&amp;$Q7&amp;"*")+COUNTIFS(jax!$D:$D, "*"&amp;$Q7&amp;"*")+COUNTIFS(aiohttp!$D:$D, "*"&amp;$Q7&amp;"*")+COUNTIFS(faker!$D:$D, "*"&amp;$Q7&amp;"*")</f>
        <v>22</v>
      </c>
      <c r="U7">
        <f>V7/R7</f>
        <v>9.0909090909090912E-2</v>
      </c>
      <c r="V7">
        <v>2</v>
      </c>
    </row>
    <row r="8" spans="1:26">
      <c r="D8" t="s">
        <v>557</v>
      </c>
      <c r="E8" s="5">
        <f>COUNTIF(request!D:D, "*"&amp;D8&amp;"*")+COUNTIF(numpy!D:D, "*"&amp;D8&amp;"*")+COUNTIF(pandas!D:D, "*"&amp;D8&amp;"*")+COUNTIF(click!D:D, "*"&amp;D8&amp;"*")+COUNTIF(flask!D:D, "*"&amp;D8&amp;"*")+COUNTIF(pydantic!D:D, "*"&amp;D8&amp;"*")+COUNTIF(SciPy!D:D, "*"&amp;D8&amp;"*")+COUNTIF(pillow!D:D, "*"&amp;D8&amp;"*")+COUNTIF('scikit-learn'!D:D, "*"&amp;D8&amp;"*")+COUNTIF(matplotlib!D:D, "*"&amp;D8&amp;"*")+COUNTIF('redis-py'!D:D, "*"&amp;D8&amp;"*")+COUNTIF(tornado!D:D, "*"&amp;D8&amp;"*")+COUNTIF(NetworkX!D:D, "*"&amp;D8&amp;"*")+COUNTIF(rich!D:D, "*"&amp;D8&amp;"*")+COUNTIF(tensorflow!D:D, "*"&amp;D8&amp;"*")+COUNTIF(fastAPI!D:D, "*"&amp;D8&amp;"*")+COUNTIF(httpx!D:D, "*"&amp;D8&amp;"*")+COUNTIF(transformers!D:D, "*"&amp;D8&amp;"*")+COUNTIF(django!D:D, "*"&amp;D8&amp;"*")+COUNTIF(xgboost!D:D, "*"&amp;D8&amp;"*")+COUNTIF(keras!D:D, "*"&amp;D8&amp;"*")+COUNTIF(pytorch!D:D, "*"&amp;D8&amp;"*")+COUNTIF(plotly.py!D:D, "*"&amp;D8&amp;"*")+COUNTIF(dask!D:D, "*"&amp;D8&amp;"*")+COUNTIF(polars!D:D, "*"&amp;D8&amp;"*")+COUNTIF(loguru!D:D, "*"&amp;D8&amp;"*")+COUNTIF(LightGBM!D:D, "*"&amp;D8&amp;"*")+COUNTIF(sympy!D:D, "*"&amp;D8&amp;"*")+COUNTIF(spaCy!D:D, "*"&amp;D8&amp;"*")+COUNTIF(gensim!D:D, "*"&amp;D8&amp;"*")+COUNTIF(jax!D:D, "*"&amp;D8&amp;"*")+COUNTIF(aiohttp!D:D, "*"&amp;D8&amp;"*")+COUNTIF(faker!D:D, "*"&amp;D8&amp;"*")</f>
        <v>115</v>
      </c>
      <c r="I8" t="s">
        <v>668</v>
      </c>
      <c r="J8">
        <f>F28+E29</f>
        <v>4</v>
      </c>
      <c r="K8" s="5">
        <f>COUNTIF(request!D:D, "*"&amp;I8&amp;"*")+COUNTIF(numpy!D:D, "*"&amp;I8&amp;"*")+COUNTIF(pandas!D:D, "*"&amp;I8&amp;"*")+COUNTIF(click!D:D, "*"&amp;I8&amp;"*")+COUNTIF(flask!D:D, "*"&amp;I8&amp;"*")+COUNTIF(pydantic!D:D, "*"&amp;I8&amp;"*")+COUNTIF(SciPy!D:D, "*"&amp;I8&amp;"*")+COUNTIF(pillow!D:D, "*"&amp;I8&amp;"*")+COUNTIF('scikit-learn'!D:D, "*"&amp;I8&amp;"*")+COUNTIF(matplotlib!D:D, "*"&amp;I8&amp;"*")+COUNTIF('redis-py'!D:D, "*"&amp;I8&amp;"*")+COUNTIF(tornado!D:D, "*"&amp;I8&amp;"*")+COUNTIF(NetworkX!D:D, "*"&amp;I8&amp;"*")+COUNTIF(rich!D:D, "*"&amp;I8&amp;"*")+COUNTIF(tensorflow!D:D, "*"&amp;I8&amp;"*")+COUNTIF(fastAPI!D:D, "*"&amp;I8&amp;"*")+COUNTIF(httpx!D:D, "*"&amp;I8&amp;"*")+COUNTIF(transformers!D:D, "*"&amp;I8&amp;"*")+COUNTIF(django!D:D, "*"&amp;I8&amp;"*")+COUNTIF(xgboost!D:D, "*"&amp;I8&amp;"*")+COUNTIF(keras!D:D, "*"&amp;I8&amp;"*")+COUNTIF(pytorch!D:D, "*"&amp;I8&amp;"*")+COUNTIF(plotly.py!D:D, "*"&amp;I8&amp;"*")+COUNTIF(dask!D:D, "*"&amp;I8&amp;"*")+COUNTIF(polars!D:D, "*"&amp;I8&amp;"*")+COUNTIF(loguru!D:D, "*"&amp;I8&amp;"*")+COUNTIF(LightGBM!D:D, "*"&amp;I8&amp;"*")+COUNTIF(sympy!D:D, "*"&amp;I8&amp;"*")+COUNTIF(spaCy!D:D, "*"&amp;I8&amp;"*")+COUNTIF(gensim!D:D, "*"&amp;I8&amp;"*")+COUNTIF(jax!D:D, "*"&amp;I8&amp;"*")+COUNTIF(aiohttp!D:D, "*"&amp;I8&amp;"*")+COUNTIF(faker!D:D, "*"&amp;I8&amp;"*")</f>
        <v>4</v>
      </c>
      <c r="L8" s="14">
        <f t="shared" si="0"/>
        <v>1.078167115902965E-2</v>
      </c>
      <c r="Q8" t="s">
        <v>708</v>
      </c>
      <c r="R8" s="9">
        <f>COUNTIFS(request!$D:$D, "*"&amp;$Q8&amp;"*")+COUNTIFS(numpy!$D:$D, "*"&amp;$Q8&amp;"*")+COUNTIFS(pandas!$D:$D, "*"&amp;$Q8&amp;"*")+COUNTIFS(click!$D:$D, "*"&amp;$Q8&amp;"*")+COUNTIFS(flask!$D:$D, "*"&amp;$Q8&amp;"*")+COUNTIFS(pydantic!$D:$D, "*"&amp;$Q8&amp;"*")+COUNTIFS(SciPy!$D:$D, "*"&amp;$Q8&amp;"*")+COUNTIFS(pillow!$D:$D, "*"&amp;$Q8&amp;"*")+COUNTIFS('scikit-learn'!$D:$D, "*"&amp;$Q8&amp;"*")+COUNTIFS(matplotlib!$D:$D, "*"&amp;$Q8&amp;"*")+COUNTIFS('redis-py'!$D:$D, "*"&amp;$Q8&amp;"*")+COUNTIFS(tornado!$D:$D, "*"&amp;$Q8&amp;"*")+COUNTIFS(NetworkX!$D:$D, "*"&amp;$Q8&amp;"*")+COUNTIFS(rich!$D:$D, "*"&amp;$Q8&amp;"*")+COUNTIFS(tensorflow!$D:$D, "*"&amp;$Q8&amp;"*")+COUNTIFS(fastAPI!$D:$D, "*"&amp;$Q8&amp;"*")+COUNTIFS(httpx!$D:$D, "*"&amp;$Q8&amp;"*")+COUNTIFS(transformers!$D:$D, "*"&amp;$Q8&amp;"*")+COUNTIFS(django!$D:$D, "*"&amp;$Q8&amp;"*")+COUNTIFS(xgboost!$D:$D, "*"&amp;$Q8&amp;"*")+COUNTIFS(keras!$D:$D, "*"&amp;$Q8&amp;"*")+COUNTIFS(pytorch!$D:$D, "*"&amp;$Q8&amp;"*")+COUNTIFS(plotly.py!$D:$D, "*"&amp;$Q8&amp;"*")+COUNTIFS(dask!$D:$D, "*"&amp;$Q8&amp;"*")+COUNTIFS(polars!$D:$D, "*"&amp;$Q8&amp;"*")+COUNTIFS(loguru!$D:$D, "*"&amp;$Q8&amp;"*")+COUNTIFS(LightGBM!$D:$D, "*"&amp;$Q8&amp;"*")+COUNTIFS(sympy!$D:$D, "*"&amp;$Q8&amp;"*")+COUNTIFS(spaCy!$D:$D, "*"&amp;$Q8&amp;"*")+COUNTIFS(gensim!$D:$D, "*"&amp;$Q8&amp;"*")+COUNTIFS(jax!$D:$D, "*"&amp;$Q8&amp;"*")+COUNTIFS(aiohttp!$D:$D, "*"&amp;$Q8&amp;"*")+COUNTIFS(faker!$D:$D, "*"&amp;$Q8&amp;"*")</f>
        <v>14</v>
      </c>
      <c r="U8">
        <f>V8/R8</f>
        <v>0.7857142857142857</v>
      </c>
      <c r="V8">
        <v>11</v>
      </c>
      <c r="W8" t="s">
        <v>722</v>
      </c>
    </row>
    <row r="9" spans="1:26">
      <c r="D9" t="s">
        <v>660</v>
      </c>
      <c r="E9" s="5">
        <f>COUNTIF(request!D:D, "*"&amp;D9&amp;"*")+COUNTIF(numpy!D:D, "*"&amp;D9&amp;"*")+COUNTIF(pandas!D:D, "*"&amp;D9&amp;"*")+COUNTIF(click!D:D, "*"&amp;D9&amp;"*")+COUNTIF(flask!D:D, "*"&amp;D9&amp;"*")+COUNTIF(pydantic!D:D, "*"&amp;D9&amp;"*")+COUNTIF(SciPy!D:D, "*"&amp;D9&amp;"*")+COUNTIF(pillow!D:D, "*"&amp;D9&amp;"*")+COUNTIF('scikit-learn'!D:D, "*"&amp;D9&amp;"*")+COUNTIF(matplotlib!D:D, "*"&amp;D9&amp;"*")+COUNTIF('redis-py'!D:D, "*"&amp;D9&amp;"*")+COUNTIF(tornado!D:D, "*"&amp;D9&amp;"*")+COUNTIF(NetworkX!D:D, "*"&amp;D9&amp;"*")+COUNTIF(rich!D:D, "*"&amp;D9&amp;"*")+COUNTIF(tensorflow!D:D, "*"&amp;D9&amp;"*")+COUNTIF(fastAPI!D:D, "*"&amp;D9&amp;"*")+COUNTIF(httpx!D:D, "*"&amp;D9&amp;"*")+COUNTIF(transformers!D:D, "*"&amp;D9&amp;"*")+COUNTIF(django!D:D, "*"&amp;D9&amp;"*")+COUNTIF(xgboost!D:D, "*"&amp;D9&amp;"*")+COUNTIF(keras!D:D, "*"&amp;D9&amp;"*")+COUNTIF(pytorch!D:D, "*"&amp;D9&amp;"*")+COUNTIF(plotly.py!D:D, "*"&amp;D9&amp;"*")+COUNTIF(dask!D:D, "*"&amp;D9&amp;"*")+COUNTIF(polars!D:D, "*"&amp;D9&amp;"*")+COUNTIF(loguru!D:D, "*"&amp;D9&amp;"*")+COUNTIF(LightGBM!D:D, "*"&amp;D9&amp;"*")+COUNTIF(sympy!D:D, "*"&amp;D9&amp;"*")+COUNTIF(spaCy!D:D, "*"&amp;D9&amp;"*")+COUNTIF(gensim!D:D, "*"&amp;D9&amp;"*")+COUNTIF(jax!D:D, "*"&amp;D9&amp;"*")+COUNTIF(aiohttp!D:D, "*"&amp;D9&amp;"*")+COUNTIF(faker!D:D, "*"&amp;D9&amp;"*")</f>
        <v>1</v>
      </c>
      <c r="I9" t="s">
        <v>570</v>
      </c>
      <c r="J9">
        <f>E30</f>
        <v>96</v>
      </c>
      <c r="K9" s="5">
        <f>COUNTIF(request!D:D, "*"&amp;I9&amp;"*")+COUNTIF(numpy!D:D, "*"&amp;I9&amp;"*")+COUNTIF(pandas!D:D, "*"&amp;I9&amp;"*")+COUNTIF(click!D:D, "*"&amp;I9&amp;"*")+COUNTIF(flask!D:D, "*"&amp;I9&amp;"*")+COUNTIF(pydantic!D:D, "*"&amp;I9&amp;"*")+COUNTIF(SciPy!D:D, "*"&amp;I9&amp;"*")+COUNTIF(pillow!D:D, "*"&amp;I9&amp;"*")+COUNTIF('scikit-learn'!D:D, "*"&amp;I9&amp;"*")+COUNTIF(matplotlib!D:D, "*"&amp;I9&amp;"*")+COUNTIF('redis-py'!D:D, "*"&amp;I9&amp;"*")+COUNTIF(tornado!D:D, "*"&amp;I9&amp;"*")+COUNTIF(NetworkX!D:D, "*"&amp;I9&amp;"*")+COUNTIF(rich!D:D, "*"&amp;I9&amp;"*")+COUNTIF(tensorflow!D:D, "*"&amp;I9&amp;"*")+COUNTIF(fastAPI!D:D, "*"&amp;I9&amp;"*")+COUNTIF(httpx!D:D, "*"&amp;I9&amp;"*")+COUNTIF(transformers!D:D, "*"&amp;I9&amp;"*")+COUNTIF(django!D:D, "*"&amp;I9&amp;"*")+COUNTIF(xgboost!D:D, "*"&amp;I9&amp;"*")+COUNTIF(keras!D:D, "*"&amp;I9&amp;"*")+COUNTIF(pytorch!D:D, "*"&amp;I9&amp;"*")+COUNTIF(plotly.py!D:D, "*"&amp;I9&amp;"*")+COUNTIF(dask!D:D, "*"&amp;I9&amp;"*")+COUNTIF(polars!D:D, "*"&amp;I9&amp;"*")+COUNTIF(loguru!D:D, "*"&amp;I9&amp;"*")+COUNTIF(LightGBM!D:D, "*"&amp;I9&amp;"*")+COUNTIF(sympy!D:D, "*"&amp;I9&amp;"*")+COUNTIF(spaCy!D:D, "*"&amp;I9&amp;"*")+COUNTIF(gensim!D:D, "*"&amp;I9&amp;"*")+COUNTIF(jax!D:D, "*"&amp;I9&amp;"*")+COUNTIF(aiohttp!D:D, "*"&amp;I9&amp;"*")+COUNTIF(faker!D:D, "*"&amp;I9&amp;"*")</f>
        <v>96</v>
      </c>
      <c r="L9" s="14">
        <f t="shared" si="0"/>
        <v>0.2587601078167116</v>
      </c>
      <c r="Q9" t="s">
        <v>710</v>
      </c>
      <c r="R9" s="9">
        <f>COUNTIFS(request!$D:$D, "*"&amp;$Q9&amp;"*")+COUNTIFS(numpy!$D:$D, "*"&amp;$Q9&amp;"*")+COUNTIFS(pandas!$D:$D, "*"&amp;$Q9&amp;"*")+COUNTIFS(click!$D:$D, "*"&amp;$Q9&amp;"*")+COUNTIFS(flask!$D:$D, "*"&amp;$Q9&amp;"*")+COUNTIFS(pydantic!$D:$D, "*"&amp;$Q9&amp;"*")+COUNTIFS(SciPy!$D:$D, "*"&amp;$Q9&amp;"*")+COUNTIFS(pillow!$D:$D, "*"&amp;$Q9&amp;"*")+COUNTIFS('scikit-learn'!$D:$D, "*"&amp;$Q9&amp;"*")+COUNTIFS(matplotlib!$D:$D, "*"&amp;$Q9&amp;"*")+COUNTIFS('redis-py'!$D:$D, "*"&amp;$Q9&amp;"*")+COUNTIFS(tornado!$D:$D, "*"&amp;$Q9&amp;"*")+COUNTIFS(NetworkX!$D:$D, "*"&amp;$Q9&amp;"*")+COUNTIFS(rich!$D:$D, "*"&amp;$Q9&amp;"*")+COUNTIFS(tensorflow!$D:$D, "*"&amp;$Q9&amp;"*")+COUNTIFS(fastAPI!$D:$D, "*"&amp;$Q9&amp;"*")+COUNTIFS(httpx!$D:$D, "*"&amp;$Q9&amp;"*")+COUNTIFS(transformers!$D:$D, "*"&amp;$Q9&amp;"*")+COUNTIFS(django!$D:$D, "*"&amp;$Q9&amp;"*")+COUNTIFS(xgboost!$D:$D, "*"&amp;$Q9&amp;"*")+COUNTIFS(keras!$D:$D, "*"&amp;$Q9&amp;"*")+COUNTIFS(pytorch!$D:$D, "*"&amp;$Q9&amp;"*")+COUNTIFS(plotly.py!$D:$D, "*"&amp;$Q9&amp;"*")+COUNTIFS(dask!$D:$D, "*"&amp;$Q9&amp;"*")+COUNTIFS(polars!$D:$D, "*"&amp;$Q9&amp;"*")+COUNTIFS(loguru!$D:$D, "*"&amp;$Q9&amp;"*")+COUNTIFS(LightGBM!$D:$D, "*"&amp;$Q9&amp;"*")+COUNTIFS(sympy!$D:$D, "*"&amp;$Q9&amp;"*")+COUNTIFS(spaCy!$D:$D, "*"&amp;$Q9&amp;"*")+COUNTIFS(gensim!$D:$D, "*"&amp;$Q9&amp;"*")+COUNTIFS(jax!$D:$D, "*"&amp;$Q9&amp;"*")+COUNTIFS(aiohttp!$D:$D, "*"&amp;$Q9&amp;"*")+COUNTIFS(faker!$D:$D, "*"&amp;$Q9&amp;"*")</f>
        <v>10</v>
      </c>
      <c r="V9">
        <f>W9/R9</f>
        <v>0.5</v>
      </c>
      <c r="W9">
        <v>5</v>
      </c>
      <c r="X9" t="s">
        <v>723</v>
      </c>
    </row>
    <row r="10" spans="1:26">
      <c r="D10" t="s">
        <v>606</v>
      </c>
      <c r="E10" s="5">
        <f>COUNTIF(request!D:D, "*"&amp;D10&amp;"*")+COUNTIF(numpy!D:D, "*"&amp;D10&amp;"*")+COUNTIF(pandas!D:D, "*"&amp;D10&amp;"*")+COUNTIF(click!D:D, "*"&amp;D10&amp;"*")+COUNTIF(flask!D:D, "*"&amp;D10&amp;"*")+COUNTIF(pydantic!D:D, "*"&amp;D10&amp;"*")+COUNTIF(SciPy!D:D, "*"&amp;D10&amp;"*")+COUNTIF(pillow!D:D, "*"&amp;D10&amp;"*")+COUNTIF('scikit-learn'!D:D, "*"&amp;D10&amp;"*")+COUNTIF(matplotlib!D:D, "*"&amp;D10&amp;"*")+COUNTIF('redis-py'!D:D, "*"&amp;D10&amp;"*")+COUNTIF(tornado!D:D, "*"&amp;D10&amp;"*")+COUNTIF(NetworkX!D:D, "*"&amp;D10&amp;"*")+COUNTIF(rich!D:D, "*"&amp;D10&amp;"*")+COUNTIF(tensorflow!D:D, "*"&amp;D10&amp;"*")+COUNTIF(fastAPI!D:D, "*"&amp;D10&amp;"*")+COUNTIF(httpx!D:D, "*"&amp;D10&amp;"*")+COUNTIF(transformers!D:D, "*"&amp;D10&amp;"*")+COUNTIF(django!D:D, "*"&amp;D10&amp;"*")+COUNTIF(xgboost!D:D, "*"&amp;D10&amp;"*")+COUNTIF(keras!D:D, "*"&amp;D10&amp;"*")+COUNTIF(pytorch!D:D, "*"&amp;D10&amp;"*")+COUNTIF(plotly.py!D:D, "*"&amp;D10&amp;"*")+COUNTIF(dask!D:D, "*"&amp;D10&amp;"*")+COUNTIF(polars!D:D, "*"&amp;D10&amp;"*")+COUNTIF(loguru!D:D, "*"&amp;D10&amp;"*")+COUNTIF(LightGBM!D:D, "*"&amp;D10&amp;"*")+COUNTIF(sympy!D:D, "*"&amp;D10&amp;"*")+COUNTIF(spaCy!D:D, "*"&amp;D10&amp;"*")+COUNTIF(gensim!D:D, "*"&amp;D10&amp;"*")+COUNTIF(jax!D:D, "*"&amp;D10&amp;"*")+COUNTIF(aiohttp!D:D, "*"&amp;D10&amp;"*")+COUNTIF(faker!D:D, "*"&amp;D10&amp;"*")</f>
        <v>6</v>
      </c>
      <c r="I10" t="s">
        <v>685</v>
      </c>
      <c r="J10">
        <f>E31+E32</f>
        <v>22</v>
      </c>
      <c r="K10" s="5">
        <f>COUNTIF(request!D:D, "*"&amp;I10&amp;"*")+COUNTIF(numpy!D:D, "*"&amp;I10&amp;"*")+COUNTIF(pandas!D:D, "*"&amp;I10&amp;"*")+COUNTIF(click!D:D, "*"&amp;I10&amp;"*")+COUNTIF(flask!D:D, "*"&amp;I10&amp;"*")+COUNTIF(pydantic!D:D, "*"&amp;I10&amp;"*")+COUNTIF(SciPy!D:D, "*"&amp;I10&amp;"*")+COUNTIF(pillow!D:D, "*"&amp;I10&amp;"*")+COUNTIF('scikit-learn'!D:D, "*"&amp;I10&amp;"*")+COUNTIF(matplotlib!D:D, "*"&amp;I10&amp;"*")+COUNTIF('redis-py'!D:D, "*"&amp;I10&amp;"*")+COUNTIF(tornado!D:D, "*"&amp;I10&amp;"*")+COUNTIF(NetworkX!D:D, "*"&amp;I10&amp;"*")+COUNTIF(rich!D:D, "*"&amp;I10&amp;"*")+COUNTIF(tensorflow!D:D, "*"&amp;I10&amp;"*")+COUNTIF(fastAPI!D:D, "*"&amp;I10&amp;"*")+COUNTIF(httpx!D:D, "*"&amp;I10&amp;"*")+COUNTIF(transformers!D:D, "*"&amp;I10&amp;"*")+COUNTIF(django!D:D, "*"&amp;I10&amp;"*")+COUNTIF(xgboost!D:D, "*"&amp;I10&amp;"*")+COUNTIF(keras!D:D, "*"&amp;I10&amp;"*")+COUNTIF(pytorch!D:D, "*"&amp;I10&amp;"*")+COUNTIF(plotly.py!D:D, "*"&amp;I10&amp;"*")+COUNTIF(dask!D:D, "*"&amp;I10&amp;"*")+COUNTIF(polars!D:D, "*"&amp;I10&amp;"*")+COUNTIF(loguru!D:D, "*"&amp;I10&amp;"*")+COUNTIF(LightGBM!D:D, "*"&amp;I10&amp;"*")+COUNTIF(sympy!D:D, "*"&amp;I10&amp;"*")+COUNTIF(spaCy!D:D, "*"&amp;I10&amp;"*")+COUNTIF(gensim!D:D, "*"&amp;I10&amp;"*")+COUNTIF(jax!D:D, "*"&amp;I10&amp;"*")+COUNTIF(aiohttp!D:D, "*"&amp;I10&amp;"*")+COUNTIF(faker!D:D, "*"&amp;I10&amp;"*")</f>
        <v>22</v>
      </c>
      <c r="L10" s="14">
        <f t="shared" si="0"/>
        <v>5.9299191374663072E-2</v>
      </c>
      <c r="Q10" s="13" t="s">
        <v>711</v>
      </c>
      <c r="R10" s="9">
        <f>COUNTIFS(request!$D:$D, "*"&amp;$Q10&amp;"*")+COUNTIFS(numpy!$D:$D, "*"&amp;$Q10&amp;"*")+COUNTIFS(pandas!$D:$D, "*"&amp;$Q10&amp;"*")+COUNTIFS(click!$D:$D, "*"&amp;$Q10&amp;"*")+COUNTIFS(flask!$D:$D, "*"&amp;$Q10&amp;"*")+COUNTIFS(pydantic!$D:$D, "*"&amp;$Q10&amp;"*")+COUNTIFS(SciPy!$D:$D, "*"&amp;$Q10&amp;"*")+COUNTIFS(pillow!$D:$D, "*"&amp;$Q10&amp;"*")+COUNTIFS('scikit-learn'!$D:$D, "*"&amp;$Q10&amp;"*")+COUNTIFS(matplotlib!$D:$D, "*"&amp;$Q10&amp;"*")+COUNTIFS('redis-py'!$D:$D, "*"&amp;$Q10&amp;"*")+COUNTIFS(tornado!$D:$D, "*"&amp;$Q10&amp;"*")+COUNTIFS(NetworkX!$D:$D, "*"&amp;$Q10&amp;"*")+COUNTIFS(rich!$D:$D, "*"&amp;$Q10&amp;"*")+COUNTIFS(tensorflow!$D:$D, "*"&amp;$Q10&amp;"*")+COUNTIFS(fastAPI!$D:$D, "*"&amp;$Q10&amp;"*")+COUNTIFS(httpx!$D:$D, "*"&amp;$Q10&amp;"*")+COUNTIFS(transformers!$D:$D, "*"&amp;$Q10&amp;"*")+COUNTIFS(django!$D:$D, "*"&amp;$Q10&amp;"*")+COUNTIFS(xgboost!$D:$D, "*"&amp;$Q10&amp;"*")+COUNTIFS(keras!$D:$D, "*"&amp;$Q10&amp;"*")+COUNTIFS(pytorch!$D:$D, "*"&amp;$Q10&amp;"*")+COUNTIFS(plotly.py!$D:$D, "*"&amp;$Q10&amp;"*")+COUNTIFS(dask!$D:$D, "*"&amp;$Q10&amp;"*")+COUNTIFS(polars!$D:$D, "*"&amp;$Q10&amp;"*")+COUNTIFS(loguru!$D:$D, "*"&amp;$Q10&amp;"*")+COUNTIFS(LightGBM!$D:$D, "*"&amp;$Q10&amp;"*")+COUNTIFS(sympy!$D:$D, "*"&amp;$Q10&amp;"*")+COUNTIFS(spaCy!$D:$D, "*"&amp;$Q10&amp;"*")+COUNTIFS(gensim!$D:$D, "*"&amp;$Q10&amp;"*")+COUNTIFS(jax!$D:$D, "*"&amp;$Q10&amp;"*")+COUNTIFS(aiohttp!$D:$D, "*"&amp;$Q10&amp;"*")+COUNTIFS(faker!$D:$D, "*"&amp;$Q10&amp;"*")</f>
        <v>7</v>
      </c>
      <c r="W10">
        <v>0</v>
      </c>
      <c r="X10">
        <v>0</v>
      </c>
    </row>
    <row r="11" spans="1:26">
      <c r="D11" t="s">
        <v>637</v>
      </c>
      <c r="E11" s="5">
        <f>COUNTIF(request!D:D, "*"&amp;D11&amp;"*")+COUNTIF(numpy!D:D, "*"&amp;D11&amp;"*")+COUNTIF(pandas!D:D, "*"&amp;D11&amp;"*")+COUNTIF(click!D:D, "*"&amp;D11&amp;"*")+COUNTIF(flask!D:D, "*"&amp;D11&amp;"*")+COUNTIF(pydantic!D:D, "*"&amp;D11&amp;"*")+COUNTIF(SciPy!D:D, "*"&amp;D11&amp;"*")+COUNTIF(pillow!D:D, "*"&amp;D11&amp;"*")+COUNTIF('scikit-learn'!D:D, "*"&amp;D11&amp;"*")+COUNTIF(matplotlib!D:D, "*"&amp;D11&amp;"*")+COUNTIF('redis-py'!D:D, "*"&amp;D11&amp;"*")+COUNTIF(tornado!D:D, "*"&amp;D11&amp;"*")+COUNTIF(NetworkX!D:D, "*"&amp;D11&amp;"*")+COUNTIF(rich!D:D, "*"&amp;D11&amp;"*")+COUNTIF(tensorflow!D:D, "*"&amp;D11&amp;"*")+COUNTIF(fastAPI!D:D, "*"&amp;D11&amp;"*")+COUNTIF(httpx!D:D, "*"&amp;D11&amp;"*")+COUNTIF(transformers!D:D, "*"&amp;D11&amp;"*")+COUNTIF(django!D:D, "*"&amp;D11&amp;"*")+COUNTIF(xgboost!D:D, "*"&amp;D11&amp;"*")+COUNTIF(keras!D:D, "*"&amp;D11&amp;"*")+COUNTIF(pytorch!D:D, "*"&amp;D11&amp;"*")+COUNTIF(plotly.py!D:D, "*"&amp;D11&amp;"*")+COUNTIF(dask!D:D, "*"&amp;D11&amp;"*")+COUNTIF(polars!D:D, "*"&amp;D11&amp;"*")+COUNTIF(loguru!D:D, "*"&amp;D11&amp;"*")+COUNTIF(LightGBM!D:D, "*"&amp;D11&amp;"*")+COUNTIF(sympy!D:D, "*"&amp;D11&amp;"*")+COUNTIF(spaCy!D:D, "*"&amp;D11&amp;"*")+COUNTIF(gensim!D:D, "*"&amp;D11&amp;"*")+COUNTIF(jax!D:D, "*"&amp;D11&amp;"*")+COUNTIF(aiohttp!D:D, "*"&amp;D11&amp;"*")+COUNTIF(faker!D:D, "*"&amp;D11&amp;"*")</f>
        <v>1</v>
      </c>
      <c r="I11" t="s">
        <v>686</v>
      </c>
      <c r="J11">
        <f>E34</f>
        <v>2</v>
      </c>
      <c r="K11" s="5">
        <f>COUNTIF(request!D:D, "*"&amp;I11&amp;"*")+COUNTIF(numpy!D:D, "*"&amp;I11&amp;"*")+COUNTIF(pandas!D:D, "*"&amp;I11&amp;"*")+COUNTIF(click!D:D, "*"&amp;I11&amp;"*")+COUNTIF(flask!D:D, "*"&amp;I11&amp;"*")+COUNTIF(pydantic!D:D, "*"&amp;I11&amp;"*")+COUNTIF(SciPy!D:D, "*"&amp;I11&amp;"*")+COUNTIF(pillow!D:D, "*"&amp;I11&amp;"*")+COUNTIF('scikit-learn'!D:D, "*"&amp;I11&amp;"*")+COUNTIF(matplotlib!D:D, "*"&amp;I11&amp;"*")+COUNTIF('redis-py'!D:D, "*"&amp;I11&amp;"*")+COUNTIF(tornado!D:D, "*"&amp;I11&amp;"*")+COUNTIF(NetworkX!D:D, "*"&amp;I11&amp;"*")+COUNTIF(rich!D:D, "*"&amp;I11&amp;"*")+COUNTIF(tensorflow!D:D, "*"&amp;I11&amp;"*")+COUNTIF(fastAPI!D:D, "*"&amp;I11&amp;"*")+COUNTIF(httpx!D:D, "*"&amp;I11&amp;"*")+COUNTIF(transformers!D:D, "*"&amp;I11&amp;"*")+COUNTIF(django!D:D, "*"&amp;I11&amp;"*")+COUNTIF(xgboost!D:D, "*"&amp;I11&amp;"*")+COUNTIF(keras!D:D, "*"&amp;I11&amp;"*")+COUNTIF(pytorch!D:D, "*"&amp;I11&amp;"*")+COUNTIF(plotly.py!D:D, "*"&amp;I11&amp;"*")+COUNTIF(dask!D:D, "*"&amp;I11&amp;"*")+COUNTIF(polars!D:D, "*"&amp;I11&amp;"*")+COUNTIF(loguru!D:D, "*"&amp;I11&amp;"*")+COUNTIF(LightGBM!D:D, "*"&amp;I11&amp;"*")+COUNTIF(sympy!D:D, "*"&amp;I11&amp;"*")+COUNTIF(spaCy!D:D, "*"&amp;I11&amp;"*")+COUNTIF(gensim!D:D, "*"&amp;I11&amp;"*")+COUNTIF(jax!D:D, "*"&amp;I11&amp;"*")+COUNTIF(aiohttp!D:D, "*"&amp;I11&amp;"*")+COUNTIF(faker!D:D, "*"&amp;I11&amp;"*")</f>
        <v>2</v>
      </c>
      <c r="L11" s="14">
        <f t="shared" si="0"/>
        <v>5.3908355795148251E-3</v>
      </c>
      <c r="Q11" t="s">
        <v>712</v>
      </c>
      <c r="R11" s="9">
        <f>COUNTIFS(request!$D:$D, "*"&amp;$Q11&amp;"*")+COUNTIFS(numpy!$D:$D, "*"&amp;$Q11&amp;"*")+COUNTIFS(pandas!$D:$D, "*"&amp;$Q11&amp;"*")+COUNTIFS(click!$D:$D, "*"&amp;$Q11&amp;"*")+COUNTIFS(flask!$D:$D, "*"&amp;$Q11&amp;"*")+COUNTIFS(pydantic!$D:$D, "*"&amp;$Q11&amp;"*")+COUNTIFS(SciPy!$D:$D, "*"&amp;$Q11&amp;"*")+COUNTIFS(pillow!$D:$D, "*"&amp;$Q11&amp;"*")+COUNTIFS('scikit-learn'!$D:$D, "*"&amp;$Q11&amp;"*")+COUNTIFS(matplotlib!$D:$D, "*"&amp;$Q11&amp;"*")+COUNTIFS('redis-py'!$D:$D, "*"&amp;$Q11&amp;"*")+COUNTIFS(tornado!$D:$D, "*"&amp;$Q11&amp;"*")+COUNTIFS(NetworkX!$D:$D, "*"&amp;$Q11&amp;"*")+COUNTIFS(rich!$D:$D, "*"&amp;$Q11&amp;"*")+COUNTIFS(tensorflow!$D:$D, "*"&amp;$Q11&amp;"*")+COUNTIFS(fastAPI!$D:$D, "*"&amp;$Q11&amp;"*")+COUNTIFS(httpx!$D:$D, "*"&amp;$Q11&amp;"*")+COUNTIFS(transformers!$D:$D, "*"&amp;$Q11&amp;"*")+COUNTIFS(django!$D:$D, "*"&amp;$Q11&amp;"*")+COUNTIFS(xgboost!$D:$D, "*"&amp;$Q11&amp;"*")+COUNTIFS(keras!$D:$D, "*"&amp;$Q11&amp;"*")+COUNTIFS(pytorch!$D:$D, "*"&amp;$Q11&amp;"*")+COUNTIFS(plotly.py!$D:$D, "*"&amp;$Q11&amp;"*")+COUNTIFS(dask!$D:$D, "*"&amp;$Q11&amp;"*")+COUNTIFS(polars!$D:$D, "*"&amp;$Q11&amp;"*")+COUNTIFS(loguru!$D:$D, "*"&amp;$Q11&amp;"*")+COUNTIFS(LightGBM!$D:$D, "*"&amp;$Q11&amp;"*")+COUNTIFS(sympy!$D:$D, "*"&amp;$Q11&amp;"*")+COUNTIFS(spaCy!$D:$D, "*"&amp;$Q11&amp;"*")+COUNTIFS(gensim!$D:$D, "*"&amp;$Q11&amp;"*")+COUNTIFS(jax!$D:$D, "*"&amp;$Q11&amp;"*")+COUNTIFS(aiohttp!$D:$D, "*"&amp;$Q11&amp;"*")+COUNTIFS(faker!$D:$D, "*"&amp;$Q11&amp;"*")</f>
        <v>6</v>
      </c>
      <c r="W11">
        <f>X11/R11</f>
        <v>0.33333333333333331</v>
      </c>
      <c r="X11">
        <v>2</v>
      </c>
      <c r="Y11" t="s">
        <v>724</v>
      </c>
    </row>
    <row r="12" spans="1:26">
      <c r="D12" t="s">
        <v>573</v>
      </c>
      <c r="E12" s="5">
        <f>COUNTIF(request!D:D, "*"&amp;D12&amp;"*")+COUNTIF(numpy!D:D, "*"&amp;D12&amp;"*")+COUNTIF(pandas!D:D, "*"&amp;D12&amp;"*")+COUNTIF(click!D:D, "*"&amp;D12&amp;"*")+COUNTIF(flask!D:D, "*"&amp;D12&amp;"*")+COUNTIF(pydantic!D:D, "*"&amp;D12&amp;"*")+COUNTIF(SciPy!D:D, "*"&amp;D12&amp;"*")+COUNTIF(pillow!D:D, "*"&amp;D12&amp;"*")+COUNTIF('scikit-learn'!D:D, "*"&amp;D12&amp;"*")+COUNTIF(matplotlib!D:D, "*"&amp;D12&amp;"*")+COUNTIF('redis-py'!D:D, "*"&amp;D12&amp;"*")+COUNTIF(tornado!D:D, "*"&amp;D12&amp;"*")+COUNTIF(NetworkX!D:D, "*"&amp;D12&amp;"*")+COUNTIF(rich!D:D, "*"&amp;D12&amp;"*")+COUNTIF(tensorflow!D:D, "*"&amp;D12&amp;"*")+COUNTIF(fastAPI!D:D, "*"&amp;D12&amp;"*")+COUNTIF(httpx!D:D, "*"&amp;D12&amp;"*")+COUNTIF(transformers!D:D, "*"&amp;D12&amp;"*")+COUNTIF(django!D:D, "*"&amp;D12&amp;"*")+COUNTIF(xgboost!D:D, "*"&amp;D12&amp;"*")+COUNTIF(keras!D:D, "*"&amp;D12&amp;"*")+COUNTIF(pytorch!D:D, "*"&amp;D12&amp;"*")+COUNTIF(plotly.py!D:D, "*"&amp;D12&amp;"*")+COUNTIF(dask!D:D, "*"&amp;D12&amp;"*")+COUNTIF(polars!D:D, "*"&amp;D12&amp;"*")+COUNTIF(loguru!D:D, "*"&amp;D12&amp;"*")+COUNTIF(LightGBM!D:D, "*"&amp;D12&amp;"*")+COUNTIF(sympy!D:D, "*"&amp;D12&amp;"*")+COUNTIF(spaCy!D:D, "*"&amp;D12&amp;"*")+COUNTIF(gensim!D:D, "*"&amp;D12&amp;"*")+COUNTIF(jax!D:D, "*"&amp;D12&amp;"*")+COUNTIF(aiohttp!D:D, "*"&amp;D12&amp;"*")+COUNTIF(faker!D:D, "*"&amp;D12&amp;"*")</f>
        <v>1</v>
      </c>
      <c r="I12" t="s">
        <v>673</v>
      </c>
      <c r="J12">
        <f>E35</f>
        <v>1</v>
      </c>
      <c r="K12" s="20">
        <f>COUNTIF(request!D:D, "*"&amp;I12&amp;"*")+COUNTIF(numpy!D:D, "*"&amp;I12&amp;"*")+COUNTIF(pandas!D:D, "*"&amp;I12&amp;"*")+COUNTIF(click!D:D, "*"&amp;I12&amp;"*")+COUNTIF(flask!D:D, "*"&amp;I12&amp;"*")+COUNTIF(pydantic!D:D, "*"&amp;I12&amp;"*")+COUNTIF(SciPy!D:D, "*"&amp;I12&amp;"*")+COUNTIF(pillow!D:D, "*"&amp;I12&amp;"*")+COUNTIF('scikit-learn'!D:D, "*"&amp;I12&amp;"*")+COUNTIF(matplotlib!D:D, "*"&amp;I12&amp;"*")+COUNTIF('redis-py'!D:D, "*"&amp;I12&amp;"*")+COUNTIF(tornado!D:D, "*"&amp;I12&amp;"*")+COUNTIF(NetworkX!D:D, "*"&amp;I12&amp;"*")+COUNTIF(rich!D:D, "*"&amp;I12&amp;"*")+COUNTIF(tensorflow!D:D, "*"&amp;I12&amp;"*")+COUNTIF(fastAPI!D:D, "*"&amp;I12&amp;"*")+COUNTIF(httpx!D:D, "*"&amp;I12&amp;"*")+COUNTIF(transformers!D:D, "*"&amp;I12&amp;"*")+COUNTIF(django!D:D, "*"&amp;I12&amp;"*")+COUNTIF(xgboost!D:D, "*"&amp;I12&amp;"*")+COUNTIF(keras!D:D, "*"&amp;I12&amp;"*")+COUNTIF(pytorch!D:D, "*"&amp;I12&amp;"*")+COUNTIF(plotly.py!D:D, "*"&amp;I12&amp;"*")+COUNTIF(dask!D:D, "*"&amp;I12&amp;"*")+COUNTIF(polars!D:D, "*"&amp;I12&amp;"*")+COUNTIF(loguru!D:D, "*"&amp;I12&amp;"*")+COUNTIF(LightGBM!D:D, "*"&amp;I12&amp;"*")+COUNTIF(sympy!D:D, "*"&amp;I12&amp;"*")+COUNTIF(spaCy!D:D, "*"&amp;I12&amp;"*")+COUNTIF(gensim!D:D, "*"&amp;I12&amp;"*")+COUNTIF(jax!D:D, "*"&amp;I12&amp;"*")+COUNTIF(aiohttp!D:D, "*"&amp;I12&amp;"*")+COUNTIF(faker!D:D, "*"&amp;I12&amp;"*")</f>
        <v>1</v>
      </c>
      <c r="L12" s="14">
        <f t="shared" si="0"/>
        <v>2.6954177897574125E-3</v>
      </c>
      <c r="Q12" s="13" t="s">
        <v>713</v>
      </c>
      <c r="R12" s="9">
        <f>COUNTIFS(request!$D:$D, "*"&amp;$Q12&amp;"*")+COUNTIFS(numpy!$D:$D, "*"&amp;$Q12&amp;"*")+COUNTIFS(pandas!$D:$D, "*"&amp;$Q12&amp;"*")+COUNTIFS(click!$D:$D, "*"&amp;$Q12&amp;"*")+COUNTIFS(flask!$D:$D, "*"&amp;$Q12&amp;"*")+COUNTIFS(pydantic!$D:$D, "*"&amp;$Q12&amp;"*")+COUNTIFS(SciPy!$D:$D, "*"&amp;$Q12&amp;"*")+COUNTIFS(pillow!$D:$D, "*"&amp;$Q12&amp;"*")+COUNTIFS('scikit-learn'!$D:$D, "*"&amp;$Q12&amp;"*")+COUNTIFS(matplotlib!$D:$D, "*"&amp;$Q12&amp;"*")+COUNTIFS('redis-py'!$D:$D, "*"&amp;$Q12&amp;"*")+COUNTIFS(tornado!$D:$D, "*"&amp;$Q12&amp;"*")+COUNTIFS(NetworkX!$D:$D, "*"&amp;$Q12&amp;"*")+COUNTIFS(rich!$D:$D, "*"&amp;$Q12&amp;"*")+COUNTIFS(tensorflow!$D:$D, "*"&amp;$Q12&amp;"*")+COUNTIFS(fastAPI!$D:$D, "*"&amp;$Q12&amp;"*")+COUNTIFS(httpx!$D:$D, "*"&amp;$Q12&amp;"*")+COUNTIFS(transformers!$D:$D, "*"&amp;$Q12&amp;"*")+COUNTIFS(django!$D:$D, "*"&amp;$Q12&amp;"*")+COUNTIFS(xgboost!$D:$D, "*"&amp;$Q12&amp;"*")+COUNTIFS(keras!$D:$D, "*"&amp;$Q12&amp;"*")+COUNTIFS(pytorch!$D:$D, "*"&amp;$Q12&amp;"*")+COUNTIFS(plotly.py!$D:$D, "*"&amp;$Q12&amp;"*")+COUNTIFS(dask!$D:$D, "*"&amp;$Q12&amp;"*")+COUNTIFS(polars!$D:$D, "*"&amp;$Q12&amp;"*")+COUNTIFS(loguru!$D:$D, "*"&amp;$Q12&amp;"*")+COUNTIFS(LightGBM!$D:$D, "*"&amp;$Q12&amp;"*")+COUNTIFS(sympy!$D:$D, "*"&amp;$Q12&amp;"*")+COUNTIFS(spaCy!$D:$D, "*"&amp;$Q12&amp;"*")+COUNTIFS(gensim!$D:$D, "*"&amp;$Q12&amp;"*")+COUNTIFS(jax!$D:$D, "*"&amp;$Q12&amp;"*")+COUNTIFS(aiohttp!$D:$D, "*"&amp;$Q12&amp;"*")+COUNTIFS(faker!$D:$D, "*"&amp;$Q12&amp;"*")</f>
        <v>4</v>
      </c>
      <c r="X12">
        <v>0</v>
      </c>
      <c r="Y12">
        <v>0</v>
      </c>
    </row>
    <row r="13" spans="1:26">
      <c r="D13" t="s">
        <v>576</v>
      </c>
      <c r="E13" s="5">
        <f>COUNTIF(request!D:D, "*"&amp;D13&amp;"*")+COUNTIF(numpy!D:D, "*"&amp;D13&amp;"*")+COUNTIF(pandas!D:D, "*"&amp;D13&amp;"*")+COUNTIF(click!D:D, "*"&amp;D13&amp;"*")+COUNTIF(flask!D:D, "*"&amp;D13&amp;"*")+COUNTIF(pydantic!D:D, "*"&amp;D13&amp;"*")+COUNTIF(SciPy!D:D, "*"&amp;D13&amp;"*")+COUNTIF(pillow!D:D, "*"&amp;D13&amp;"*")+COUNTIF('scikit-learn'!D:D, "*"&amp;D13&amp;"*")+COUNTIF(matplotlib!D:D, "*"&amp;D13&amp;"*")+COUNTIF('redis-py'!D:D, "*"&amp;D13&amp;"*")+COUNTIF(tornado!D:D, "*"&amp;D13&amp;"*")+COUNTIF(NetworkX!D:D, "*"&amp;D13&amp;"*")+COUNTIF(rich!D:D, "*"&amp;D13&amp;"*")+COUNTIF(tensorflow!D:D, "*"&amp;D13&amp;"*")+COUNTIF(fastAPI!D:D, "*"&amp;D13&amp;"*")+COUNTIF(httpx!D:D, "*"&amp;D13&amp;"*")+COUNTIF(transformers!D:D, "*"&amp;D13&amp;"*")+COUNTIF(django!D:D, "*"&amp;D13&amp;"*")+COUNTIF(xgboost!D:D, "*"&amp;D13&amp;"*")+COUNTIF(keras!D:D, "*"&amp;D13&amp;"*")+COUNTIF(pytorch!D:D, "*"&amp;D13&amp;"*")+COUNTIF(plotly.py!D:D, "*"&amp;D13&amp;"*")+COUNTIF(dask!D:D, "*"&amp;D13&amp;"*")+COUNTIF(polars!D:D, "*"&amp;D13&amp;"*")+COUNTIF(loguru!D:D, "*"&amp;D13&amp;"*")+COUNTIF(LightGBM!D:D, "*"&amp;D13&amp;"*")+COUNTIF(sympy!D:D, "*"&amp;D13&amp;"*")+COUNTIF(spaCy!D:D, "*"&amp;D13&amp;"*")+COUNTIF(gensim!D:D, "*"&amp;D13&amp;"*")+COUNTIF(jax!D:D, "*"&amp;D13&amp;"*")+COUNTIF(aiohttp!D:D, "*"&amp;D13&amp;"*")+COUNTIF(faker!D:D, "*"&amp;D13&amp;"*")</f>
        <v>1</v>
      </c>
      <c r="I13" t="s">
        <v>687</v>
      </c>
      <c r="J13">
        <f>E36</f>
        <v>1</v>
      </c>
      <c r="K13" s="20">
        <f>COUNTIF(request!D:D, "*"&amp;I13&amp;"*")+COUNTIF(numpy!D:D, "*"&amp;I13&amp;"*")+COUNTIF(pandas!D:D, "*"&amp;I13&amp;"*")+COUNTIF(click!D:D, "*"&amp;I13&amp;"*")+COUNTIF(flask!D:D, "*"&amp;I13&amp;"*")+COUNTIF(pydantic!D:D, "*"&amp;I13&amp;"*")+COUNTIF(SciPy!D:D, "*"&amp;I13&amp;"*")+COUNTIF(pillow!D:D, "*"&amp;I13&amp;"*")+COUNTIF('scikit-learn'!D:D, "*"&amp;I13&amp;"*")+COUNTIF(matplotlib!D:D, "*"&amp;I13&amp;"*")+COUNTIF('redis-py'!D:D, "*"&amp;I13&amp;"*")+COUNTIF(tornado!D:D, "*"&amp;I13&amp;"*")+COUNTIF(NetworkX!D:D, "*"&amp;I13&amp;"*")+COUNTIF(rich!D:D, "*"&amp;I13&amp;"*")+COUNTIF(tensorflow!D:D, "*"&amp;I13&amp;"*")+COUNTIF(fastAPI!D:D, "*"&amp;I13&amp;"*")+COUNTIF(httpx!D:D, "*"&amp;I13&amp;"*")+COUNTIF(transformers!D:D, "*"&amp;I13&amp;"*")+COUNTIF(django!D:D, "*"&amp;I13&amp;"*")+COUNTIF(xgboost!D:D, "*"&amp;I13&amp;"*")+COUNTIF(keras!D:D, "*"&amp;I13&amp;"*")+COUNTIF(pytorch!D:D, "*"&amp;I13&amp;"*")+COUNTIF(plotly.py!D:D, "*"&amp;I13&amp;"*")+COUNTIF(dask!D:D, "*"&amp;I13&amp;"*")+COUNTIF(polars!D:D, "*"&amp;I13&amp;"*")+COUNTIF(loguru!D:D, "*"&amp;I13&amp;"*")+COUNTIF(LightGBM!D:D, "*"&amp;I13&amp;"*")+COUNTIF(sympy!D:D, "*"&amp;I13&amp;"*")+COUNTIF(spaCy!D:D, "*"&amp;I13&amp;"*")+COUNTIF(gensim!D:D, "*"&amp;I13&amp;"*")+COUNTIF(jax!D:D, "*"&amp;I13&amp;"*")+COUNTIF(aiohttp!D:D, "*"&amp;I13&amp;"*")+COUNTIF(faker!D:D, "*"&amp;I13&amp;"*")</f>
        <v>1</v>
      </c>
      <c r="L13" s="14">
        <f t="shared" si="0"/>
        <v>2.6954177897574125E-3</v>
      </c>
      <c r="Q13" t="s">
        <v>714</v>
      </c>
      <c r="R13" s="9">
        <f>COUNTIFS(request!$D:$D, "*"&amp;$Q13&amp;"*")+COUNTIFS(numpy!$D:$D, "*"&amp;$Q13&amp;"*")+COUNTIFS(pandas!$D:$D, "*"&amp;$Q13&amp;"*")+COUNTIFS(click!$D:$D, "*"&amp;$Q13&amp;"*")+COUNTIFS(flask!$D:$D, "*"&amp;$Q13&amp;"*")+COUNTIFS(pydantic!$D:$D, "*"&amp;$Q13&amp;"*")+COUNTIFS(SciPy!$D:$D, "*"&amp;$Q13&amp;"*")+COUNTIFS(pillow!$D:$D, "*"&amp;$Q13&amp;"*")+COUNTIFS('scikit-learn'!$D:$D, "*"&amp;$Q13&amp;"*")+COUNTIFS(matplotlib!$D:$D, "*"&amp;$Q13&amp;"*")+COUNTIFS('redis-py'!$D:$D, "*"&amp;$Q13&amp;"*")+COUNTIFS(tornado!$D:$D, "*"&amp;$Q13&amp;"*")+COUNTIFS(NetworkX!$D:$D, "*"&amp;$Q13&amp;"*")+COUNTIFS(rich!$D:$D, "*"&amp;$Q13&amp;"*")+COUNTIFS(tensorflow!$D:$D, "*"&amp;$Q13&amp;"*")+COUNTIFS(fastAPI!$D:$D, "*"&amp;$Q13&amp;"*")+COUNTIFS(httpx!$D:$D, "*"&amp;$Q13&amp;"*")+COUNTIFS(transformers!$D:$D, "*"&amp;$Q13&amp;"*")+COUNTIFS(django!$D:$D, "*"&amp;$Q13&amp;"*")+COUNTIFS(xgboost!$D:$D, "*"&amp;$Q13&amp;"*")+COUNTIFS(keras!$D:$D, "*"&amp;$Q13&amp;"*")+COUNTIFS(pytorch!$D:$D, "*"&amp;$Q13&amp;"*")+COUNTIFS(plotly.py!$D:$D, "*"&amp;$Q13&amp;"*")+COUNTIFS(dask!$D:$D, "*"&amp;$Q13&amp;"*")+COUNTIFS(polars!$D:$D, "*"&amp;$Q13&amp;"*")+COUNTIFS(loguru!$D:$D, "*"&amp;$Q13&amp;"*")+COUNTIFS(LightGBM!$D:$D, "*"&amp;$Q13&amp;"*")+COUNTIFS(sympy!$D:$D, "*"&amp;$Q13&amp;"*")+COUNTIFS(spaCy!$D:$D, "*"&amp;$Q13&amp;"*")+COUNTIFS(gensim!$D:$D, "*"&amp;$Q13&amp;"*")+COUNTIFS(jax!$D:$D, "*"&amp;$Q13&amp;"*")+COUNTIFS(aiohttp!$D:$D, "*"&amp;$Q13&amp;"*")+COUNTIFS(faker!$D:$D, "*"&amp;$Q13&amp;"*")</f>
        <v>3</v>
      </c>
      <c r="X13">
        <f>Y13/R13</f>
        <v>0.66666666666666663</v>
      </c>
      <c r="Y13">
        <v>2</v>
      </c>
      <c r="Z13" t="s">
        <v>725</v>
      </c>
    </row>
    <row r="14" spans="1:26">
      <c r="D14" t="s">
        <v>661</v>
      </c>
      <c r="E14" s="5">
        <f>COUNTIF(request!D:D, "*"&amp;D14&amp;"*")+COUNTIF(numpy!D:D, "*"&amp;D14&amp;"*")+COUNTIF(pandas!D:D, "*"&amp;D14&amp;"*")+COUNTIF(click!D:D, "*"&amp;D14&amp;"*")+COUNTIF(flask!D:D, "*"&amp;D14&amp;"*")+COUNTIF(pydantic!D:D, "*"&amp;D14&amp;"*")+COUNTIF(SciPy!D:D, "*"&amp;D14&amp;"*")+COUNTIF(pillow!D:D, "*"&amp;D14&amp;"*")+COUNTIF('scikit-learn'!D:D, "*"&amp;D14&amp;"*")+COUNTIF(matplotlib!D:D, "*"&amp;D14&amp;"*")+COUNTIF('redis-py'!D:D, "*"&amp;D14&amp;"*")+COUNTIF(tornado!D:D, "*"&amp;D14&amp;"*")+COUNTIF(NetworkX!D:D, "*"&amp;D14&amp;"*")+COUNTIF(rich!D:D, "*"&amp;D14&amp;"*")+COUNTIF(tensorflow!D:D, "*"&amp;D14&amp;"*")+COUNTIF(fastAPI!D:D, "*"&amp;D14&amp;"*")+COUNTIF(httpx!D:D, "*"&amp;D14&amp;"*")+COUNTIF(transformers!D:D, "*"&amp;D14&amp;"*")+COUNTIF(django!D:D, "*"&amp;D14&amp;"*")+COUNTIF(xgboost!D:D, "*"&amp;D14&amp;"*")+COUNTIF(keras!D:D, "*"&amp;D14&amp;"*")+COUNTIF(pytorch!D:D, "*"&amp;D14&amp;"*")+COUNTIF(plotly.py!D:D, "*"&amp;D14&amp;"*")+COUNTIF(dask!D:D, "*"&amp;D14&amp;"*")+COUNTIF(polars!D:D, "*"&amp;D14&amp;"*")+COUNTIF(loguru!D:D, "*"&amp;D14&amp;"*")+COUNTIF(LightGBM!D:D, "*"&amp;D14&amp;"*")+COUNTIF(sympy!D:D, "*"&amp;D14&amp;"*")+COUNTIF(spaCy!D:D, "*"&amp;D14&amp;"*")+COUNTIF(gensim!D:D, "*"&amp;D14&amp;"*")+COUNTIF(jax!D:D, "*"&amp;D14&amp;"*")+COUNTIF(aiohttp!D:D, "*"&amp;D14&amp;"*")+COUNTIF(faker!D:D, "*"&amp;D14&amp;"*")</f>
        <v>1</v>
      </c>
      <c r="I14" t="s">
        <v>688</v>
      </c>
      <c r="J14">
        <f>E37</f>
        <v>1</v>
      </c>
      <c r="K14" s="20">
        <f>COUNTIF(request!D:D, "*"&amp;I14&amp;"*")+COUNTIF(numpy!D:D, "*"&amp;I14&amp;"*")+COUNTIF(pandas!D:D, "*"&amp;I14&amp;"*")+COUNTIF(click!D:D, "*"&amp;I14&amp;"*")+COUNTIF(flask!D:D, "*"&amp;I14&amp;"*")+COUNTIF(pydantic!D:D, "*"&amp;I14&amp;"*")+COUNTIF(SciPy!D:D, "*"&amp;I14&amp;"*")+COUNTIF(pillow!D:D, "*"&amp;I14&amp;"*")+COUNTIF('scikit-learn'!D:D, "*"&amp;I14&amp;"*")+COUNTIF(matplotlib!D:D, "*"&amp;I14&amp;"*")+COUNTIF('redis-py'!D:D, "*"&amp;I14&amp;"*")+COUNTIF(tornado!D:D, "*"&amp;I14&amp;"*")+COUNTIF(NetworkX!D:D, "*"&amp;I14&amp;"*")+COUNTIF(rich!D:D, "*"&amp;I14&amp;"*")+COUNTIF(tensorflow!D:D, "*"&amp;I14&amp;"*")+COUNTIF(fastAPI!D:D, "*"&amp;I14&amp;"*")+COUNTIF(httpx!D:D, "*"&amp;I14&amp;"*")+COUNTIF(transformers!D:D, "*"&amp;I14&amp;"*")+COUNTIF(django!D:D, "*"&amp;I14&amp;"*")+COUNTIF(xgboost!D:D, "*"&amp;I14&amp;"*")+COUNTIF(keras!D:D, "*"&amp;I14&amp;"*")+COUNTIF(pytorch!D:D, "*"&amp;I14&amp;"*")+COUNTIF(plotly.py!D:D, "*"&amp;I14&amp;"*")+COUNTIF(dask!D:D, "*"&amp;I14&amp;"*")+COUNTIF(polars!D:D, "*"&amp;I14&amp;"*")+COUNTIF(loguru!D:D, "*"&amp;I14&amp;"*")+COUNTIF(LightGBM!D:D, "*"&amp;I14&amp;"*")+COUNTIF(sympy!D:D, "*"&amp;I14&amp;"*")+COUNTIF(spaCy!D:D, "*"&amp;I14&amp;"*")+COUNTIF(gensim!D:D, "*"&amp;I14&amp;"*")+COUNTIF(jax!D:D, "*"&amp;I14&amp;"*")+COUNTIF(aiohttp!D:D, "*"&amp;I14&amp;"*")+COUNTIF(faker!D:D, "*"&amp;I14&amp;"*")</f>
        <v>1</v>
      </c>
      <c r="L14" s="14">
        <f t="shared" si="0"/>
        <v>2.6954177897574125E-3</v>
      </c>
      <c r="Q14" s="13" t="s">
        <v>715</v>
      </c>
      <c r="R14" s="9">
        <f>COUNTIFS(request!$D:$D, "*"&amp;$Q14&amp;"*")+COUNTIFS(numpy!$D:$D, "*"&amp;$Q14&amp;"*")+COUNTIFS(pandas!$D:$D, "*"&amp;$Q14&amp;"*")+COUNTIFS(click!$D:$D, "*"&amp;$Q14&amp;"*")+COUNTIFS(flask!$D:$D, "*"&amp;$Q14&amp;"*")+COUNTIFS(pydantic!$D:$D, "*"&amp;$Q14&amp;"*")+COUNTIFS(SciPy!$D:$D, "*"&amp;$Q14&amp;"*")+COUNTIFS(pillow!$D:$D, "*"&amp;$Q14&amp;"*")+COUNTIFS('scikit-learn'!$D:$D, "*"&amp;$Q14&amp;"*")+COUNTIFS(matplotlib!$D:$D, "*"&amp;$Q14&amp;"*")+COUNTIFS('redis-py'!$D:$D, "*"&amp;$Q14&amp;"*")+COUNTIFS(tornado!$D:$D, "*"&amp;$Q14&amp;"*")+COUNTIFS(NetworkX!$D:$D, "*"&amp;$Q14&amp;"*")+COUNTIFS(rich!$D:$D, "*"&amp;$Q14&amp;"*")+COUNTIFS(tensorflow!$D:$D, "*"&amp;$Q14&amp;"*")+COUNTIFS(fastAPI!$D:$D, "*"&amp;$Q14&amp;"*")+COUNTIFS(httpx!$D:$D, "*"&amp;$Q14&amp;"*")+COUNTIFS(transformers!$D:$D, "*"&amp;$Q14&amp;"*")+COUNTIFS(django!$D:$D, "*"&amp;$Q14&amp;"*")+COUNTIFS(xgboost!$D:$D, "*"&amp;$Q14&amp;"*")+COUNTIFS(keras!$D:$D, "*"&amp;$Q14&amp;"*")+COUNTIFS(pytorch!$D:$D, "*"&amp;$Q14&amp;"*")+COUNTIFS(plotly.py!$D:$D, "*"&amp;$Q14&amp;"*")+COUNTIFS(dask!$D:$D, "*"&amp;$Q14&amp;"*")+COUNTIFS(polars!$D:$D, "*"&amp;$Q14&amp;"*")+COUNTIFS(loguru!$D:$D, "*"&amp;$Q14&amp;"*")+COUNTIFS(LightGBM!$D:$D, "*"&amp;$Q14&amp;"*")+COUNTIFS(sympy!$D:$D, "*"&amp;$Q14&amp;"*")+COUNTIFS(spaCy!$D:$D, "*"&amp;$Q14&amp;"*")+COUNTIFS(gensim!$D:$D, "*"&amp;$Q14&amp;"*")+COUNTIFS(jax!$D:$D, "*"&amp;$Q14&amp;"*")+COUNTIFS(aiohttp!$D:$D, "*"&amp;$Q14&amp;"*")+COUNTIFS(faker!$D:$D, "*"&amp;$Q14&amp;"*")</f>
        <v>3</v>
      </c>
      <c r="Z14">
        <v>1</v>
      </c>
    </row>
    <row r="15" spans="1:26">
      <c r="D15" t="s">
        <v>693</v>
      </c>
      <c r="E15" s="5">
        <f>COUNTIF(request!D:D, "*"&amp;D15&amp;"*")+COUNTIF(numpy!D:D, "*"&amp;D15&amp;"*")+COUNTIF(pandas!D:D, "*"&amp;D15&amp;"*")+COUNTIF(click!D:D, "*"&amp;D15&amp;"*")+COUNTIF(flask!D:D, "*"&amp;D15&amp;"*")+COUNTIF(pydantic!D:D, "*"&amp;D15&amp;"*")+COUNTIF(SciPy!D:D, "*"&amp;D15&amp;"*")+COUNTIF(pillow!D:D, "*"&amp;D15&amp;"*")+COUNTIF('scikit-learn'!D:D, "*"&amp;D15&amp;"*")+COUNTIF(matplotlib!D:D, "*"&amp;D15&amp;"*")+COUNTIF('redis-py'!D:D, "*"&amp;D15&amp;"*")+COUNTIF(tornado!D:D, "*"&amp;D15&amp;"*")+COUNTIF(NetworkX!D:D, "*"&amp;D15&amp;"*")+COUNTIF(rich!D:D, "*"&amp;D15&amp;"*")+COUNTIF(tensorflow!D:D, "*"&amp;D15&amp;"*")+COUNTIF(fastAPI!D:D, "*"&amp;D15&amp;"*")+COUNTIF(httpx!D:D, "*"&amp;D15&amp;"*")+COUNTIF(transformers!D:D, "*"&amp;D15&amp;"*")+COUNTIF(django!D:D, "*"&amp;D15&amp;"*")+COUNTIF(xgboost!D:D, "*"&amp;D15&amp;"*")+COUNTIF(keras!D:D, "*"&amp;D15&amp;"*")+COUNTIF(pytorch!D:D, "*"&amp;D15&amp;"*")+COUNTIF(plotly.py!D:D, "*"&amp;D15&amp;"*")+COUNTIF(dask!D:D, "*"&amp;D15&amp;"*")+COUNTIF(polars!D:D, "*"&amp;D15&amp;"*")+COUNTIF(loguru!D:D, "*"&amp;D15&amp;"*")+COUNTIF(LightGBM!D:D, "*"&amp;D15&amp;"*")+COUNTIF(sympy!D:D, "*"&amp;D15&amp;"*")+COUNTIF(spaCy!D:D, "*"&amp;D15&amp;"*")+COUNTIF(gensim!D:D, "*"&amp;D15&amp;"*")+COUNTIF(jax!D:D, "*"&amp;D15&amp;"*")+COUNTIF(aiohttp!D:D, "*"&amp;D15&amp;"*")+COUNTIF(faker!D:D, "*"&amp;D15&amp;"*")</f>
        <v>1</v>
      </c>
      <c r="I15" t="s">
        <v>689</v>
      </c>
      <c r="J15">
        <f>F38+E39</f>
        <v>14</v>
      </c>
      <c r="K15" s="5">
        <f>COUNTIF(request!D:D, "*"&amp;I15&amp;"*")+COUNTIF(numpy!D:D, "*"&amp;I15&amp;"*")+COUNTIF(pandas!D:D, "*"&amp;I15&amp;"*")+COUNTIF(click!D:D, "*"&amp;I15&amp;"*")+COUNTIF(flask!D:D, "*"&amp;I15&amp;"*")+COUNTIF(pydantic!D:D, "*"&amp;I15&amp;"*")+COUNTIF(SciPy!D:D, "*"&amp;I15&amp;"*")+COUNTIF(pillow!D:D, "*"&amp;I15&amp;"*")+COUNTIF('scikit-learn'!D:D, "*"&amp;I15&amp;"*")+COUNTIF(matplotlib!D:D, "*"&amp;I15&amp;"*")+COUNTIF('redis-py'!D:D, "*"&amp;I15&amp;"*")+COUNTIF(tornado!D:D, "*"&amp;I15&amp;"*")+COUNTIF(NetworkX!D:D, "*"&amp;I15&amp;"*")+COUNTIF(rich!D:D, "*"&amp;I15&amp;"*")+COUNTIF(tensorflow!D:D, "*"&amp;I15&amp;"*")+COUNTIF(fastAPI!D:D, "*"&amp;I15&amp;"*")+COUNTIF(httpx!D:D, "*"&amp;I15&amp;"*")+COUNTIF(transformers!D:D, "*"&amp;I15&amp;"*")+COUNTIF(django!D:D, "*"&amp;I15&amp;"*")+COUNTIF(xgboost!D:D, "*"&amp;I15&amp;"*")+COUNTIF(keras!D:D, "*"&amp;I15&amp;"*")+COUNTIF(pytorch!D:D, "*"&amp;I15&amp;"*")+COUNTIF(plotly.py!D:D, "*"&amp;I15&amp;"*")+COUNTIF(dask!D:D, "*"&amp;I15&amp;"*")+COUNTIF(polars!D:D, "*"&amp;I15&amp;"*")+COUNTIF(loguru!D:D, "*"&amp;I15&amp;"*")+COUNTIF(LightGBM!D:D, "*"&amp;I15&amp;"*")+COUNTIF(sympy!D:D, "*"&amp;I15&amp;"*")+COUNTIF(spaCy!D:D, "*"&amp;I15&amp;"*")+COUNTIF(gensim!D:D, "*"&amp;I15&amp;"*")+COUNTIF(jax!D:D, "*"&amp;I15&amp;"*")+COUNTIF(aiohttp!D:D, "*"&amp;I15&amp;"*")+COUNTIF(faker!D:D, "*"&amp;I15&amp;"*")</f>
        <v>14</v>
      </c>
      <c r="L15" s="14">
        <f t="shared" si="0"/>
        <v>3.7735849056603772E-2</v>
      </c>
      <c r="Q15" s="13" t="s">
        <v>716</v>
      </c>
      <c r="R15" s="9">
        <f>COUNTIFS(request!$D:$D, "*"&amp;$Q15&amp;"*")+COUNTIFS(numpy!$D:$D, "*"&amp;$Q15&amp;"*")+COUNTIFS(pandas!$D:$D, "*"&amp;$Q15&amp;"*")+COUNTIFS(click!$D:$D, "*"&amp;$Q15&amp;"*")+COUNTIFS(flask!$D:$D, "*"&amp;$Q15&amp;"*")+COUNTIFS(pydantic!$D:$D, "*"&amp;$Q15&amp;"*")+COUNTIFS(SciPy!$D:$D, "*"&amp;$Q15&amp;"*")+COUNTIFS(pillow!$D:$D, "*"&amp;$Q15&amp;"*")+COUNTIFS('scikit-learn'!$D:$D, "*"&amp;$Q15&amp;"*")+COUNTIFS(matplotlib!$D:$D, "*"&amp;$Q15&amp;"*")+COUNTIFS('redis-py'!$D:$D, "*"&amp;$Q15&amp;"*")+COUNTIFS(tornado!$D:$D, "*"&amp;$Q15&amp;"*")+COUNTIFS(NetworkX!$D:$D, "*"&amp;$Q15&amp;"*")+COUNTIFS(rich!$D:$D, "*"&amp;$Q15&amp;"*")+COUNTIFS(tensorflow!$D:$D, "*"&amp;$Q15&amp;"*")+COUNTIFS(fastAPI!$D:$D, "*"&amp;$Q15&amp;"*")+COUNTIFS(httpx!$D:$D, "*"&amp;$Q15&amp;"*")+COUNTIFS(transformers!$D:$D, "*"&amp;$Q15&amp;"*")+COUNTIFS(django!$D:$D, "*"&amp;$Q15&amp;"*")+COUNTIFS(xgboost!$D:$D, "*"&amp;$Q15&amp;"*")+COUNTIFS(keras!$D:$D, "*"&amp;$Q15&amp;"*")+COUNTIFS(pytorch!$D:$D, "*"&amp;$Q15&amp;"*")+COUNTIFS(plotly.py!$D:$D, "*"&amp;$Q15&amp;"*")+COUNTIFS(dask!$D:$D, "*"&amp;$Q15&amp;"*")+COUNTIFS(polars!$D:$D, "*"&amp;$Q15&amp;"*")+COUNTIFS(loguru!$D:$D, "*"&amp;$Q15&amp;"*")+COUNTIFS(LightGBM!$D:$D, "*"&amp;$Q15&amp;"*")+COUNTIFS(sympy!$D:$D, "*"&amp;$Q15&amp;"*")+COUNTIFS(spaCy!$D:$D, "*"&amp;$Q15&amp;"*")+COUNTIFS(gensim!$D:$D, "*"&amp;$Q15&amp;"*")+COUNTIFS(jax!$D:$D, "*"&amp;$Q15&amp;"*")+COUNTIFS(aiohttp!$D:$D, "*"&amp;$Q15&amp;"*")+COUNTIFS(faker!$D:$D, "*"&amp;$Q15&amp;"*")</f>
        <v>2</v>
      </c>
      <c r="Z15">
        <v>0</v>
      </c>
    </row>
    <row r="16" spans="1:26">
      <c r="D16" t="s">
        <v>638</v>
      </c>
      <c r="E16" s="5">
        <f>COUNTIF(request!D:D, "*"&amp;D16&amp;"*")+COUNTIF(numpy!D:D, "*"&amp;D16&amp;"*")+COUNTIF(pandas!D:D, "*"&amp;D16&amp;"*")+COUNTIF(click!D:D, "*"&amp;D16&amp;"*")+COUNTIF(flask!D:D, "*"&amp;D16&amp;"*")+COUNTIF(pydantic!D:D, "*"&amp;D16&amp;"*")+COUNTIF(SciPy!D:D, "*"&amp;D16&amp;"*")+COUNTIF(pillow!D:D, "*"&amp;D16&amp;"*")+COUNTIF('scikit-learn'!D:D, "*"&amp;D16&amp;"*")+COUNTIF(matplotlib!D:D, "*"&amp;D16&amp;"*")+COUNTIF('redis-py'!D:D, "*"&amp;D16&amp;"*")+COUNTIF(tornado!D:D, "*"&amp;D16&amp;"*")+COUNTIF(NetworkX!D:D, "*"&amp;D16&amp;"*")+COUNTIF(rich!D:D, "*"&amp;D16&amp;"*")+COUNTIF(tensorflow!D:D, "*"&amp;D16&amp;"*")+COUNTIF(fastAPI!D:D, "*"&amp;D16&amp;"*")+COUNTIF(httpx!D:D, "*"&amp;D16&amp;"*")+COUNTIF(transformers!D:D, "*"&amp;D16&amp;"*")+COUNTIF(django!D:D, "*"&amp;D16&amp;"*")+COUNTIF(xgboost!D:D, "*"&amp;D16&amp;"*")+COUNTIF(keras!D:D, "*"&amp;D16&amp;"*")+COUNTIF(pytorch!D:D, "*"&amp;D16&amp;"*")+COUNTIF(plotly.py!D:D, "*"&amp;D16&amp;"*")+COUNTIF(dask!D:D, "*"&amp;D16&amp;"*")+COUNTIF(polars!D:D, "*"&amp;D16&amp;"*")+COUNTIF(loguru!D:D, "*"&amp;D16&amp;"*")+COUNTIF(LightGBM!D:D, "*"&amp;D16&amp;"*")+COUNTIF(sympy!D:D, "*"&amp;D16&amp;"*")+COUNTIF(spaCy!D:D, "*"&amp;D16&amp;"*")+COUNTIF(gensim!D:D, "*"&amp;D16&amp;"*")+COUNTIF(jax!D:D, "*"&amp;D16&amp;"*")+COUNTIF(aiohttp!D:D, "*"&amp;D16&amp;"*")+COUNTIF(faker!D:D, "*"&amp;D16&amp;"*")</f>
        <v>1</v>
      </c>
      <c r="I16" t="s">
        <v>690</v>
      </c>
      <c r="J16" s="13">
        <f>F7+E8+E9+E10+F40+E41+F42+F43</f>
        <v>157</v>
      </c>
      <c r="K16" s="9">
        <f>COUNTIF(request!D:D, "*"&amp;I16&amp;"*")+COUNTIF(numpy!D:D, "*"&amp;I16&amp;"*")+COUNTIF(pandas!D:D, "*"&amp;I16&amp;"*")+COUNTIF(click!D:D, "*"&amp;I16&amp;"*")+COUNTIF(flask!D:D, "*"&amp;I16&amp;"*")+COUNTIF(pydantic!D:D, "*"&amp;I16&amp;"*")+COUNTIF(SciPy!D:D, "*"&amp;I16&amp;"*")+COUNTIF(pillow!D:D, "*"&amp;I16&amp;"*")+COUNTIF('scikit-learn'!D:D, "*"&amp;I16&amp;"*")+COUNTIF(matplotlib!D:D, "*"&amp;I16&amp;"*")+COUNTIF('redis-py'!D:D, "*"&amp;I16&amp;"*")+COUNTIF(tornado!D:D, "*"&amp;I16&amp;"*")+COUNTIF(NetworkX!D:D, "*"&amp;I16&amp;"*")+COUNTIF(rich!D:D, "*"&amp;I16&amp;"*")+COUNTIF(tensorflow!D:D, "*"&amp;I16&amp;"*")+COUNTIF(fastAPI!D:D, "*"&amp;I16&amp;"*")+COUNTIF(httpx!D:D, "*"&amp;I16&amp;"*")+COUNTIF(transformers!D:D, "*"&amp;I16&amp;"*")+COUNTIF(django!D:D, "*"&amp;I16&amp;"*")+COUNTIF(xgboost!D:D, "*"&amp;I16&amp;"*")+COUNTIF(keras!D:D, "*"&amp;I16&amp;"*")+COUNTIF(pytorch!D:D, "*"&amp;I16&amp;"*")+COUNTIF(plotly.py!D:D, "*"&amp;I16&amp;"*")+COUNTIF(dask!D:D, "*"&amp;I16&amp;"*")+COUNTIF(polars!D:D, "*"&amp;I16&amp;"*")+COUNTIF(loguru!D:D, "*"&amp;I16&amp;"*")+COUNTIF(LightGBM!D:D, "*"&amp;I16&amp;"*")+COUNTIF(sympy!D:D, "*"&amp;I16&amp;"*")+COUNTIF(spaCy!D:D, "*"&amp;I16&amp;"*")+COUNTIF(gensim!D:D, "*"&amp;I16&amp;"*")+COUNTIF(jax!D:D, "*"&amp;I16&amp;"*")+COUNTIF(aiohttp!D:D, "*"&amp;I16&amp;"*")+COUNTIF(faker!D:D, "*"&amp;I16&amp;"*")</f>
        <v>156</v>
      </c>
      <c r="L16" s="14">
        <f t="shared" si="0"/>
        <v>0.42048517520215634</v>
      </c>
      <c r="Q16" s="13" t="s">
        <v>717</v>
      </c>
      <c r="R16" s="9">
        <f>COUNTIFS(request!$D:$D, "*"&amp;$Q16&amp;"*")+COUNTIFS(numpy!$D:$D, "*"&amp;$Q16&amp;"*")+COUNTIFS(pandas!$D:$D, "*"&amp;$Q16&amp;"*")+COUNTIFS(click!$D:$D, "*"&amp;$Q16&amp;"*")+COUNTIFS(flask!$D:$D, "*"&amp;$Q16&amp;"*")+COUNTIFS(pydantic!$D:$D, "*"&amp;$Q16&amp;"*")+COUNTIFS(SciPy!$D:$D, "*"&amp;$Q16&amp;"*")+COUNTIFS(pillow!$D:$D, "*"&amp;$Q16&amp;"*")+COUNTIFS('scikit-learn'!$D:$D, "*"&amp;$Q16&amp;"*")+COUNTIFS(matplotlib!$D:$D, "*"&amp;$Q16&amp;"*")+COUNTIFS('redis-py'!$D:$D, "*"&amp;$Q16&amp;"*")+COUNTIFS(tornado!$D:$D, "*"&amp;$Q16&amp;"*")+COUNTIFS(NetworkX!$D:$D, "*"&amp;$Q16&amp;"*")+COUNTIFS(rich!$D:$D, "*"&amp;$Q16&amp;"*")+COUNTIFS(tensorflow!$D:$D, "*"&amp;$Q16&amp;"*")+COUNTIFS(fastAPI!$D:$D, "*"&amp;$Q16&amp;"*")+COUNTIFS(httpx!$D:$D, "*"&amp;$Q16&amp;"*")+COUNTIFS(transformers!$D:$D, "*"&amp;$Q16&amp;"*")+COUNTIFS(django!$D:$D, "*"&amp;$Q16&amp;"*")+COUNTIFS(xgboost!$D:$D, "*"&amp;$Q16&amp;"*")+COUNTIFS(keras!$D:$D, "*"&amp;$Q16&amp;"*")+COUNTIFS(pytorch!$D:$D, "*"&amp;$Q16&amp;"*")+COUNTIFS(plotly.py!$D:$D, "*"&amp;$Q16&amp;"*")+COUNTIFS(dask!$D:$D, "*"&amp;$Q16&amp;"*")+COUNTIFS(polars!$D:$D, "*"&amp;$Q16&amp;"*")+COUNTIFS(loguru!$D:$D, "*"&amp;$Q16&amp;"*")+COUNTIFS(LightGBM!$D:$D, "*"&amp;$Q16&amp;"*")+COUNTIFS(sympy!$D:$D, "*"&amp;$Q16&amp;"*")+COUNTIFS(spaCy!$D:$D, "*"&amp;$Q16&amp;"*")+COUNTIFS(gensim!$D:$D, "*"&amp;$Q16&amp;"*")+COUNTIFS(jax!$D:$D, "*"&amp;$Q16&amp;"*")+COUNTIFS(aiohttp!$D:$D, "*"&amp;$Q16&amp;"*")+COUNTIFS(faker!$D:$D, "*"&amp;$Q16&amp;"*")</f>
        <v>2</v>
      </c>
      <c r="Z16">
        <v>1</v>
      </c>
    </row>
    <row r="17" spans="4:32">
      <c r="D17" t="s">
        <v>663</v>
      </c>
      <c r="E17" s="5">
        <f>COUNTIF(request!D:D, "*"&amp;D17&amp;"*")+COUNTIF(numpy!D:D, "*"&amp;D17&amp;"*")+COUNTIF(pandas!D:D, "*"&amp;D17&amp;"*")+COUNTIF(click!D:D, "*"&amp;D17&amp;"*")+COUNTIF(flask!D:D, "*"&amp;D17&amp;"*")+COUNTIF(pydantic!D:D, "*"&amp;D17&amp;"*")+COUNTIF(SciPy!D:D, "*"&amp;D17&amp;"*")+COUNTIF(pillow!D:D, "*"&amp;D17&amp;"*")+COUNTIF('scikit-learn'!D:D, "*"&amp;D17&amp;"*")+COUNTIF(matplotlib!D:D, "*"&amp;D17&amp;"*")+COUNTIF('redis-py'!D:D, "*"&amp;D17&amp;"*")+COUNTIF(tornado!D:D, "*"&amp;D17&amp;"*")+COUNTIF(NetworkX!D:D, "*"&amp;D17&amp;"*")+COUNTIF(rich!D:D, "*"&amp;D17&amp;"*")+COUNTIF(tensorflow!D:D, "*"&amp;D17&amp;"*")+COUNTIF(fastAPI!D:D, "*"&amp;D17&amp;"*")+COUNTIF(httpx!D:D, "*"&amp;D17&amp;"*")+COUNTIF(transformers!D:D, "*"&amp;D17&amp;"*")+COUNTIF(django!D:D, "*"&amp;D17&amp;"*")+COUNTIF(xgboost!D:D, "*"&amp;D17&amp;"*")+COUNTIF(keras!D:D, "*"&amp;D17&amp;"*")+COUNTIF(pytorch!D:D, "*"&amp;D17&amp;"*")+COUNTIF(plotly.py!D:D, "*"&amp;D17&amp;"*")+COUNTIF(dask!D:D, "*"&amp;D17&amp;"*")+COUNTIF(polars!D:D, "*"&amp;D17&amp;"*")+COUNTIF(loguru!D:D, "*"&amp;D17&amp;"*")+COUNTIF(LightGBM!D:D, "*"&amp;D17&amp;"*")+COUNTIF(sympy!D:D, "*"&amp;D17&amp;"*")+COUNTIF(spaCy!D:D, "*"&amp;D17&amp;"*")+COUNTIF(gensim!D:D, "*"&amp;D17&amp;"*")+COUNTIF(jax!D:D, "*"&amp;D17&amp;"*")+COUNTIF(aiohttp!D:D, "*"&amp;D17&amp;"*")+COUNTIF(faker!D:D, "*"&amp;D17&amp;"*")</f>
        <v>1</v>
      </c>
      <c r="I17" t="s">
        <v>691</v>
      </c>
      <c r="J17">
        <f>E44</f>
        <v>1</v>
      </c>
      <c r="K17" s="20">
        <f>COUNTIF(request!D:D, "*"&amp;I17&amp;"*")+COUNTIF(numpy!D:D, "*"&amp;I17&amp;"*")+COUNTIF(pandas!D:D, "*"&amp;I17&amp;"*")+COUNTIF(click!D:D, "*"&amp;I17&amp;"*")+COUNTIF(flask!D:D, "*"&amp;I17&amp;"*")+COUNTIF(pydantic!D:D, "*"&amp;I17&amp;"*")+COUNTIF(SciPy!D:D, "*"&amp;I17&amp;"*")+COUNTIF(pillow!D:D, "*"&amp;I17&amp;"*")+COUNTIF('scikit-learn'!D:D, "*"&amp;I17&amp;"*")+COUNTIF(matplotlib!D:D, "*"&amp;I17&amp;"*")+COUNTIF('redis-py'!D:D, "*"&amp;I17&amp;"*")+COUNTIF(tornado!D:D, "*"&amp;I17&amp;"*")+COUNTIF(NetworkX!D:D, "*"&amp;I17&amp;"*")+COUNTIF(rich!D:D, "*"&amp;I17&amp;"*")+COUNTIF(tensorflow!D:D, "*"&amp;I17&amp;"*")+COUNTIF(fastAPI!D:D, "*"&amp;I17&amp;"*")+COUNTIF(httpx!D:D, "*"&amp;I17&amp;"*")+COUNTIF(transformers!D:D, "*"&amp;I17&amp;"*")+COUNTIF(django!D:D, "*"&amp;I17&amp;"*")+COUNTIF(xgboost!D:D, "*"&amp;I17&amp;"*")+COUNTIF(keras!D:D, "*"&amp;I17&amp;"*")+COUNTIF(pytorch!D:D, "*"&amp;I17&amp;"*")+COUNTIF(plotly.py!D:D, "*"&amp;I17&amp;"*")+COUNTIF(dask!D:D, "*"&amp;I17&amp;"*")+COUNTIF(polars!D:D, "*"&amp;I17&amp;"*")+COUNTIF(loguru!D:D, "*"&amp;I17&amp;"*")+COUNTIF(LightGBM!D:D, "*"&amp;I17&amp;"*")+COUNTIF(sympy!D:D, "*"&amp;I17&amp;"*")+COUNTIF(spaCy!D:D, "*"&amp;I17&amp;"*")+COUNTIF(gensim!D:D, "*"&amp;I17&amp;"*")+COUNTIF(jax!D:D, "*"&amp;I17&amp;"*")+COUNTIF(aiohttp!D:D, "*"&amp;I17&amp;"*")+COUNTIF(faker!D:D, "*"&amp;I17&amp;"*")</f>
        <v>1</v>
      </c>
      <c r="L17" s="14">
        <f t="shared" si="0"/>
        <v>2.6954177897574125E-3</v>
      </c>
    </row>
    <row r="18" spans="4:32">
      <c r="D18" t="s">
        <v>630</v>
      </c>
      <c r="E18" s="5">
        <f>COUNTIF(request!D:D, "*"&amp;D18&amp;"*")+COUNTIF(numpy!D:D, "*"&amp;D18&amp;"*")+COUNTIF(pandas!D:D, "*"&amp;D18&amp;"*")+COUNTIF(click!D:D, "*"&amp;D18&amp;"*")+COUNTIF(flask!D:D, "*"&amp;D18&amp;"*")+COUNTIF(pydantic!D:D, "*"&amp;D18&amp;"*")+COUNTIF(SciPy!D:D, "*"&amp;D18&amp;"*")+COUNTIF(pillow!D:D, "*"&amp;D18&amp;"*")+COUNTIF('scikit-learn'!D:D, "*"&amp;D18&amp;"*")+COUNTIF(matplotlib!D:D, "*"&amp;D18&amp;"*")+COUNTIF('redis-py'!D:D, "*"&amp;D18&amp;"*")+COUNTIF(tornado!D:D, "*"&amp;D18&amp;"*")+COUNTIF(NetworkX!D:D, "*"&amp;D18&amp;"*")+COUNTIF(rich!D:D, "*"&amp;D18&amp;"*")+COUNTIF(tensorflow!D:D, "*"&amp;D18&amp;"*")+COUNTIF(fastAPI!D:D, "*"&amp;D18&amp;"*")+COUNTIF(httpx!D:D, "*"&amp;D18&amp;"*")+COUNTIF(transformers!D:D, "*"&amp;D18&amp;"*")+COUNTIF(django!D:D, "*"&amp;D18&amp;"*")+COUNTIF(xgboost!D:D, "*"&amp;D18&amp;"*")+COUNTIF(keras!D:D, "*"&amp;D18&amp;"*")+COUNTIF(pytorch!D:D, "*"&amp;D18&amp;"*")+COUNTIF(plotly.py!D:D, "*"&amp;D18&amp;"*")+COUNTIF(dask!D:D, "*"&amp;D18&amp;"*")+COUNTIF(polars!D:D, "*"&amp;D18&amp;"*")+COUNTIF(loguru!D:D, "*"&amp;D18&amp;"*")+COUNTIF(LightGBM!D:D, "*"&amp;D18&amp;"*")+COUNTIF(sympy!D:D, "*"&amp;D18&amp;"*")+COUNTIF(spaCy!D:D, "*"&amp;D18&amp;"*")+COUNTIF(gensim!D:D, "*"&amp;D18&amp;"*")+COUNTIF(jax!D:D, "*"&amp;D18&amp;"*")+COUNTIF(aiohttp!D:D, "*"&amp;D18&amp;"*")+COUNTIF(faker!D:D, "*"&amp;D18&amp;"*")</f>
        <v>1</v>
      </c>
      <c r="I18" t="s">
        <v>676</v>
      </c>
      <c r="J18">
        <f>F45+E46</f>
        <v>2</v>
      </c>
      <c r="K18" s="5">
        <f>COUNTIF(request!D:D, "*"&amp;I18&amp;"*")+COUNTIF(numpy!D:D, "*"&amp;I18&amp;"*")+COUNTIF(pandas!D:D, "*"&amp;I18&amp;"*")+COUNTIF(click!D:D, "*"&amp;I18&amp;"*")+COUNTIF(flask!D:D, "*"&amp;I18&amp;"*")+COUNTIF(pydantic!D:D, "*"&amp;I18&amp;"*")+COUNTIF(SciPy!D:D, "*"&amp;I18&amp;"*")+COUNTIF(pillow!D:D, "*"&amp;I18&amp;"*")+COUNTIF('scikit-learn'!D:D, "*"&amp;I18&amp;"*")+COUNTIF(matplotlib!D:D, "*"&amp;I18&amp;"*")+COUNTIF('redis-py'!D:D, "*"&amp;I18&amp;"*")+COUNTIF(tornado!D:D, "*"&amp;I18&amp;"*")+COUNTIF(NetworkX!D:D, "*"&amp;I18&amp;"*")+COUNTIF(rich!D:D, "*"&amp;I18&amp;"*")+COUNTIF(tensorflow!D:D, "*"&amp;I18&amp;"*")+COUNTIF(fastAPI!D:D, "*"&amp;I18&amp;"*")+COUNTIF(httpx!D:D, "*"&amp;I18&amp;"*")+COUNTIF(transformers!D:D, "*"&amp;I18&amp;"*")+COUNTIF(django!D:D, "*"&amp;I18&amp;"*")+COUNTIF(xgboost!D:D, "*"&amp;I18&amp;"*")+COUNTIF(keras!D:D, "*"&amp;I18&amp;"*")+COUNTIF(pytorch!D:D, "*"&amp;I18&amp;"*")+COUNTIF(plotly.py!D:D, "*"&amp;I18&amp;"*")+COUNTIF(dask!D:D, "*"&amp;I18&amp;"*")+COUNTIF(polars!D:D, "*"&amp;I18&amp;"*")+COUNTIF(loguru!D:D, "*"&amp;I18&amp;"*")+COUNTIF(LightGBM!D:D, "*"&amp;I18&amp;"*")+COUNTIF(sympy!D:D, "*"&amp;I18&amp;"*")+COUNTIF(spaCy!D:D, "*"&amp;I18&amp;"*")+COUNTIF(gensim!D:D, "*"&amp;I18&amp;"*")+COUNTIF(jax!D:D, "*"&amp;I18&amp;"*")+COUNTIF(aiohttp!D:D, "*"&amp;I18&amp;"*")+COUNTIF(faker!D:D, "*"&amp;I18&amp;"*")</f>
        <v>2</v>
      </c>
      <c r="L18" s="14">
        <f t="shared" si="0"/>
        <v>5.3908355795148251E-3</v>
      </c>
    </row>
    <row r="19" spans="4:32">
      <c r="D19" t="s">
        <v>662</v>
      </c>
      <c r="E19" s="5">
        <f>COUNTIF(request!D:D, "*"&amp;D19&amp;"*")+COUNTIF(numpy!D:D, "*"&amp;D19&amp;"*")+COUNTIF(pandas!D:D, "*"&amp;D19&amp;"*")+COUNTIF(click!D:D, "*"&amp;D19&amp;"*")+COUNTIF(flask!D:D, "*"&amp;D19&amp;"*")+COUNTIF(pydantic!D:D, "*"&amp;D19&amp;"*")+COUNTIF(SciPy!D:D, "*"&amp;D19&amp;"*")+COUNTIF(pillow!D:D, "*"&amp;D19&amp;"*")+COUNTIF('scikit-learn'!D:D, "*"&amp;D19&amp;"*")+COUNTIF(matplotlib!D:D, "*"&amp;D19&amp;"*")+COUNTIF('redis-py'!D:D, "*"&amp;D19&amp;"*")+COUNTIF(tornado!D:D, "*"&amp;D19&amp;"*")+COUNTIF(NetworkX!D:D, "*"&amp;D19&amp;"*")+COUNTIF(rich!D:D, "*"&amp;D19&amp;"*")+COUNTIF(tensorflow!D:D, "*"&amp;D19&amp;"*")+COUNTIF(fastAPI!D:D, "*"&amp;D19&amp;"*")+COUNTIF(httpx!D:D, "*"&amp;D19&amp;"*")+COUNTIF(transformers!D:D, "*"&amp;D19&amp;"*")+COUNTIF(django!D:D, "*"&amp;D19&amp;"*")+COUNTIF(xgboost!D:D, "*"&amp;D19&amp;"*")+COUNTIF(keras!D:D, "*"&amp;D19&amp;"*")+COUNTIF(pytorch!D:D, "*"&amp;D19&amp;"*")+COUNTIF(plotly.py!D:D, "*"&amp;D19&amp;"*")+COUNTIF(dask!D:D, "*"&amp;D19&amp;"*")+COUNTIF(polars!D:D, "*"&amp;D19&amp;"*")+COUNTIF(loguru!D:D, "*"&amp;D19&amp;"*")+COUNTIF(LightGBM!D:D, "*"&amp;D19&amp;"*")+COUNTIF(sympy!D:D, "*"&amp;D19&amp;"*")+COUNTIF(spaCy!D:D, "*"&amp;D19&amp;"*")+COUNTIF(gensim!D:D, "*"&amp;D19&amp;"*")+COUNTIF(jax!D:D, "*"&amp;D19&amp;"*")+COUNTIF(aiohttp!D:D, "*"&amp;D19&amp;"*")+COUNTIF(faker!D:D, "*"&amp;D19&amp;"*")</f>
        <v>1</v>
      </c>
      <c r="I19" t="s">
        <v>692</v>
      </c>
      <c r="J19">
        <f>E47+E48</f>
        <v>24</v>
      </c>
      <c r="K19" s="5">
        <f>COUNTIF(request!D:D, "*"&amp;I19&amp;"*")+COUNTIF(numpy!D:D, "*"&amp;I19&amp;"*")+COUNTIF(pandas!D:D, "*"&amp;I19&amp;"*")+COUNTIF(click!D:D, "*"&amp;I19&amp;"*")+COUNTIF(flask!D:D, "*"&amp;I19&amp;"*")+COUNTIF(pydantic!D:D, "*"&amp;I19&amp;"*")+COUNTIF(SciPy!D:D, "*"&amp;I19&amp;"*")+COUNTIF(pillow!D:D, "*"&amp;I19&amp;"*")+COUNTIF('scikit-learn'!D:D, "*"&amp;I19&amp;"*")+COUNTIF(matplotlib!D:D, "*"&amp;I19&amp;"*")+COUNTIF('redis-py'!D:D, "*"&amp;I19&amp;"*")+COUNTIF(tornado!D:D, "*"&amp;I19&amp;"*")+COUNTIF(NetworkX!D:D, "*"&amp;I19&amp;"*")+COUNTIF(rich!D:D, "*"&amp;I19&amp;"*")+COUNTIF(tensorflow!D:D, "*"&amp;I19&amp;"*")+COUNTIF(fastAPI!D:D, "*"&amp;I19&amp;"*")+COUNTIF(httpx!D:D, "*"&amp;I19&amp;"*")+COUNTIF(transformers!D:D, "*"&amp;I19&amp;"*")+COUNTIF(django!D:D, "*"&amp;I19&amp;"*")+COUNTIF(xgboost!D:D, "*"&amp;I19&amp;"*")+COUNTIF(keras!D:D, "*"&amp;I19&amp;"*")+COUNTIF(pytorch!D:D, "*"&amp;I19&amp;"*")+COUNTIF(plotly.py!D:D, "*"&amp;I19&amp;"*")+COUNTIF(dask!D:D, "*"&amp;I19&amp;"*")+COUNTIF(polars!D:D, "*"&amp;I19&amp;"*")+COUNTIF(loguru!D:D, "*"&amp;I19&amp;"*")+COUNTIF(LightGBM!D:D, "*"&amp;I19&amp;"*")+COUNTIF(sympy!D:D, "*"&amp;I19&amp;"*")+COUNTIF(spaCy!D:D, "*"&amp;I19&amp;"*")+COUNTIF(gensim!D:D, "*"&amp;I19&amp;"*")+COUNTIF(jax!D:D, "*"&amp;I19&amp;"*")+COUNTIF(aiohttp!D:D, "*"&amp;I19&amp;"*")+COUNTIF(faker!D:D, "*"&amp;I19&amp;"*")</f>
        <v>24</v>
      </c>
      <c r="L19" s="14">
        <f t="shared" si="0"/>
        <v>6.4690026954177901E-2</v>
      </c>
    </row>
    <row r="20" spans="4:32">
      <c r="D20" t="s">
        <v>664</v>
      </c>
      <c r="E20" s="5">
        <f>COUNTIF(request!D:D, "*"&amp;D20&amp;"*")+COUNTIF(numpy!D:D, "*"&amp;D20&amp;"*")+COUNTIF(pandas!D:D, "*"&amp;D20&amp;"*")+COUNTIF(click!D:D, "*"&amp;D20&amp;"*")+COUNTIF(flask!D:D, "*"&amp;D20&amp;"*")+COUNTIF(pydantic!D:D, "*"&amp;D20&amp;"*")+COUNTIF(SciPy!D:D, "*"&amp;D20&amp;"*")+COUNTIF(pillow!D:D, "*"&amp;D20&amp;"*")+COUNTIF('scikit-learn'!D:D, "*"&amp;D20&amp;"*")+COUNTIF(matplotlib!D:D, "*"&amp;D20&amp;"*")+COUNTIF('redis-py'!D:D, "*"&amp;D20&amp;"*")+COUNTIF(tornado!D:D, "*"&amp;D20&amp;"*")+COUNTIF(NetworkX!D:D, "*"&amp;D20&amp;"*")+COUNTIF(rich!D:D, "*"&amp;D20&amp;"*")+COUNTIF(tensorflow!D:D, "*"&amp;D20&amp;"*")+COUNTIF(fastAPI!D:D, "*"&amp;D20&amp;"*")+COUNTIF(httpx!D:D, "*"&amp;D20&amp;"*")+COUNTIF(transformers!D:D, "*"&amp;D20&amp;"*")+COUNTIF(django!D:D, "*"&amp;D20&amp;"*")+COUNTIF(xgboost!D:D, "*"&amp;D20&amp;"*")+COUNTIF(keras!D:D, "*"&amp;D20&amp;"*")+COUNTIF(pytorch!D:D, "*"&amp;D20&amp;"*")+COUNTIF(plotly.py!D:D, "*"&amp;D20&amp;"*")+COUNTIF(dask!D:D, "*"&amp;D20&amp;"*")+COUNTIF(polars!D:D, "*"&amp;D20&amp;"*")+COUNTIF(loguru!D:D, "*"&amp;D20&amp;"*")+COUNTIF(LightGBM!D:D, "*"&amp;D20&amp;"*")+COUNTIF(sympy!D:D, "*"&amp;D20&amp;"*")+COUNTIF(spaCy!D:D, "*"&amp;D20&amp;"*")+COUNTIF(gensim!D:D, "*"&amp;D20&amp;"*")+COUNTIF(jax!D:D, "*"&amp;D20&amp;"*")+COUNTIF(aiohttp!D:D, "*"&amp;D20&amp;"*")+COUNTIF(faker!D:D, "*"&amp;D20&amp;"*")</f>
        <v>1</v>
      </c>
      <c r="I20" t="s">
        <v>635</v>
      </c>
      <c r="J20">
        <f>E49</f>
        <v>7</v>
      </c>
      <c r="K20" s="5">
        <f>COUNTIF(request!D:D, "*"&amp;I20&amp;"*")+COUNTIF(numpy!D:D, "*"&amp;I20&amp;"*")+COUNTIF(pandas!D:D, "*"&amp;I20&amp;"*")+COUNTIF(click!D:D, "*"&amp;I20&amp;"*")+COUNTIF(flask!D:D, "*"&amp;I20&amp;"*")+COUNTIF(pydantic!D:D, "*"&amp;I20&amp;"*")+COUNTIF(SciPy!D:D, "*"&amp;I20&amp;"*")+COUNTIF(pillow!D:D, "*"&amp;I20&amp;"*")+COUNTIF('scikit-learn'!D:D, "*"&amp;I20&amp;"*")+COUNTIF(matplotlib!D:D, "*"&amp;I20&amp;"*")+COUNTIF('redis-py'!D:D, "*"&amp;I20&amp;"*")+COUNTIF(tornado!D:D, "*"&amp;I20&amp;"*")+COUNTIF(NetworkX!D:D, "*"&amp;I20&amp;"*")+COUNTIF(rich!D:D, "*"&amp;I20&amp;"*")+COUNTIF(tensorflow!D:D, "*"&amp;I20&amp;"*")+COUNTIF(fastAPI!D:D, "*"&amp;I20&amp;"*")+COUNTIF(httpx!D:D, "*"&amp;I20&amp;"*")+COUNTIF(transformers!D:D, "*"&amp;I20&amp;"*")+COUNTIF(django!D:D, "*"&amp;I20&amp;"*")+COUNTIF(xgboost!D:D, "*"&amp;I20&amp;"*")+COUNTIF(keras!D:D, "*"&amp;I20&amp;"*")+COUNTIF(pytorch!D:D, "*"&amp;I20&amp;"*")+COUNTIF(plotly.py!D:D, "*"&amp;I20&amp;"*")+COUNTIF(dask!D:D, "*"&amp;I20&amp;"*")+COUNTIF(polars!D:D, "*"&amp;I20&amp;"*")+COUNTIF(loguru!D:D, "*"&amp;I20&amp;"*")+COUNTIF(LightGBM!D:D, "*"&amp;I20&amp;"*")+COUNTIF(sympy!D:D, "*"&amp;I20&amp;"*")+COUNTIF(spaCy!D:D, "*"&amp;I20&amp;"*")+COUNTIF(gensim!D:D, "*"&amp;I20&amp;"*")+COUNTIF(jax!D:D, "*"&amp;I20&amp;"*")+COUNTIF(aiohttp!D:D, "*"&amp;I20&amp;"*")+COUNTIF(faker!D:D, "*"&amp;I20&amp;"*")</f>
        <v>7</v>
      </c>
      <c r="L20" s="14">
        <f t="shared" si="0"/>
        <v>1.8867924528301886E-2</v>
      </c>
    </row>
    <row r="21" spans="4:32">
      <c r="D21" t="s">
        <v>665</v>
      </c>
      <c r="E21" s="5">
        <f>COUNTIF(request!D:D, "*"&amp;D21&amp;"*")+COUNTIF(numpy!D:D, "*"&amp;D21&amp;"*")+COUNTIF(pandas!D:D, "*"&amp;D21&amp;"*")+COUNTIF(click!D:D, "*"&amp;D21&amp;"*")+COUNTIF(flask!D:D, "*"&amp;D21&amp;"*")+COUNTIF(pydantic!D:D, "*"&amp;D21&amp;"*")+COUNTIF(SciPy!D:D, "*"&amp;D21&amp;"*")+COUNTIF(pillow!D:D, "*"&amp;D21&amp;"*")+COUNTIF('scikit-learn'!D:D, "*"&amp;D21&amp;"*")+COUNTIF(matplotlib!D:D, "*"&amp;D21&amp;"*")+COUNTIF('redis-py'!D:D, "*"&amp;D21&amp;"*")+COUNTIF(tornado!D:D, "*"&amp;D21&amp;"*")+COUNTIF(NetworkX!D:D, "*"&amp;D21&amp;"*")+COUNTIF(rich!D:D, "*"&amp;D21&amp;"*")+COUNTIF(tensorflow!D:D, "*"&amp;D21&amp;"*")+COUNTIF(fastAPI!D:D, "*"&amp;D21&amp;"*")+COUNTIF(httpx!D:D, "*"&amp;D21&amp;"*")+COUNTIF(transformers!D:D, "*"&amp;D21&amp;"*")+COUNTIF(django!D:D, "*"&amp;D21&amp;"*")+COUNTIF(xgboost!D:D, "*"&amp;D21&amp;"*")+COUNTIF(keras!D:D, "*"&amp;D21&amp;"*")+COUNTIF(pytorch!D:D, "*"&amp;D21&amp;"*")+COUNTIF(plotly.py!D:D, "*"&amp;D21&amp;"*")+COUNTIF(dask!D:D, "*"&amp;D21&amp;"*")+COUNTIF(polars!D:D, "*"&amp;D21&amp;"*")+COUNTIF(loguru!D:D, "*"&amp;D21&amp;"*")+COUNTIF(LightGBM!D:D, "*"&amp;D21&amp;"*")+COUNTIF(sympy!D:D, "*"&amp;D21&amp;"*")+COUNTIF(spaCy!D:D, "*"&amp;D21&amp;"*")+COUNTIF(gensim!D:D, "*"&amp;D21&amp;"*")+COUNTIF(jax!D:D, "*"&amp;D21&amp;"*")+COUNTIF(aiohttp!D:D, "*"&amp;D21&amp;"*")+COUNTIF(faker!D:D, "*"&amp;D21&amp;"*")</f>
        <v>3</v>
      </c>
      <c r="F21">
        <f>E21-E22-E23</f>
        <v>1</v>
      </c>
      <c r="K21" s="5"/>
    </row>
    <row r="22" spans="4:32">
      <c r="D22" t="s">
        <v>604</v>
      </c>
      <c r="E22" s="5">
        <f>COUNTIF(request!D:D, "*"&amp;D22&amp;"*")+COUNTIF(numpy!D:D, "*"&amp;D22&amp;"*")+COUNTIF(pandas!D:D, "*"&amp;D22&amp;"*")+COUNTIF(click!D:D, "*"&amp;D22&amp;"*")+COUNTIF(flask!D:D, "*"&amp;D22&amp;"*")+COUNTIF(pydantic!D:D, "*"&amp;D22&amp;"*")+COUNTIF(SciPy!D:D, "*"&amp;D22&amp;"*")+COUNTIF(pillow!D:D, "*"&amp;D22&amp;"*")+COUNTIF('scikit-learn'!D:D, "*"&amp;D22&amp;"*")+COUNTIF(matplotlib!D:D, "*"&amp;D22&amp;"*")+COUNTIF('redis-py'!D:D, "*"&amp;D22&amp;"*")+COUNTIF(tornado!D:D, "*"&amp;D22&amp;"*")+COUNTIF(NetworkX!D:D, "*"&amp;D22&amp;"*")+COUNTIF(rich!D:D, "*"&amp;D22&amp;"*")+COUNTIF(tensorflow!D:D, "*"&amp;D22&amp;"*")+COUNTIF(fastAPI!D:D, "*"&amp;D22&amp;"*")+COUNTIF(httpx!D:D, "*"&amp;D22&amp;"*")+COUNTIF(transformers!D:D, "*"&amp;D22&amp;"*")+COUNTIF(django!D:D, "*"&amp;D22&amp;"*")+COUNTIF(xgboost!D:D, "*"&amp;D22&amp;"*")+COUNTIF(keras!D:D, "*"&amp;D22&amp;"*")+COUNTIF(pytorch!D:D, "*"&amp;D22&amp;"*")+COUNTIF(plotly.py!D:D, "*"&amp;D22&amp;"*")+COUNTIF(dask!D:D, "*"&amp;D22&amp;"*")+COUNTIF(polars!D:D, "*"&amp;D22&amp;"*")+COUNTIF(loguru!D:D, "*"&amp;D22&amp;"*")+COUNTIF(LightGBM!D:D, "*"&amp;D22&amp;"*")+COUNTIF(sympy!D:D, "*"&amp;D22&amp;"*")+COUNTIF(spaCy!D:D, "*"&amp;D22&amp;"*")+COUNTIF(gensim!D:D, "*"&amp;D22&amp;"*")+COUNTIF(jax!D:D, "*"&amp;D22&amp;"*")+COUNTIF(aiohttp!D:D, "*"&amp;D22&amp;"*")+COUNTIF(faker!D:D, "*"&amp;D22&amp;"*")</f>
        <v>1</v>
      </c>
      <c r="I22" t="s">
        <v>737</v>
      </c>
      <c r="J22">
        <v>1</v>
      </c>
      <c r="K22" s="5"/>
    </row>
    <row r="23" spans="4:32">
      <c r="D23" t="s">
        <v>581</v>
      </c>
      <c r="E23" s="5">
        <f>COUNTIF(request!D:D, "*"&amp;D23&amp;"*")+COUNTIF(numpy!D:D, "*"&amp;D23&amp;"*")+COUNTIF(pandas!D:D, "*"&amp;D23&amp;"*")+COUNTIF(click!D:D, "*"&amp;D23&amp;"*")+COUNTIF(flask!D:D, "*"&amp;D23&amp;"*")+COUNTIF(pydantic!D:D, "*"&amp;D23&amp;"*")+COUNTIF(SciPy!D:D, "*"&amp;D23&amp;"*")+COUNTIF(pillow!D:D, "*"&amp;D23&amp;"*")+COUNTIF('scikit-learn'!D:D, "*"&amp;D23&amp;"*")+COUNTIF(matplotlib!D:D, "*"&amp;D23&amp;"*")+COUNTIF('redis-py'!D:D, "*"&amp;D23&amp;"*")+COUNTIF(tornado!D:D, "*"&amp;D23&amp;"*")+COUNTIF(NetworkX!D:D, "*"&amp;D23&amp;"*")+COUNTIF(rich!D:D, "*"&amp;D23&amp;"*")+COUNTIF(tensorflow!D:D, "*"&amp;D23&amp;"*")+COUNTIF(fastAPI!D:D, "*"&amp;D23&amp;"*")+COUNTIF(httpx!D:D, "*"&amp;D23&amp;"*")+COUNTIF(transformers!D:D, "*"&amp;D23&amp;"*")+COUNTIF(django!D:D, "*"&amp;D23&amp;"*")+COUNTIF(xgboost!D:D, "*"&amp;D23&amp;"*")+COUNTIF(keras!D:D, "*"&amp;D23&amp;"*")+COUNTIF(pytorch!D:D, "*"&amp;D23&amp;"*")+COUNTIF(plotly.py!D:D, "*"&amp;D23&amp;"*")+COUNTIF(dask!D:D, "*"&amp;D23&amp;"*")+COUNTIF(polars!D:D, "*"&amp;D23&amp;"*")+COUNTIF(loguru!D:D, "*"&amp;D23&amp;"*")+COUNTIF(LightGBM!D:D, "*"&amp;D23&amp;"*")+COUNTIF(sympy!D:D, "*"&amp;D23&amp;"*")+COUNTIF(spaCy!D:D, "*"&amp;D23&amp;"*")+COUNTIF(gensim!D:D, "*"&amp;D23&amp;"*")+COUNTIF(jax!D:D, "*"&amp;D23&amp;"*")+COUNTIF(aiohttp!D:D, "*"&amp;D23&amp;"*")+COUNTIF(faker!D:D, "*"&amp;D23&amp;"*")</f>
        <v>1</v>
      </c>
      <c r="I23" s="29" t="s">
        <v>738</v>
      </c>
      <c r="J23" t="s">
        <v>699</v>
      </c>
      <c r="K23" s="5">
        <v>0</v>
      </c>
    </row>
    <row r="24" spans="4:32">
      <c r="D24" t="s">
        <v>666</v>
      </c>
      <c r="E24" s="5">
        <f>COUNTIF(request!D:D, "*"&amp;D24&amp;"*")+COUNTIF(numpy!D:D, "*"&amp;D24&amp;"*")+COUNTIF(pandas!D:D, "*"&amp;D24&amp;"*")+COUNTIF(click!D:D, "*"&amp;D24&amp;"*")+COUNTIF(flask!D:D, "*"&amp;D24&amp;"*")+COUNTIF(pydantic!D:D, "*"&amp;D24&amp;"*")+COUNTIF(SciPy!D:D, "*"&amp;D24&amp;"*")+COUNTIF(pillow!D:D, "*"&amp;D24&amp;"*")+COUNTIF('scikit-learn'!D:D, "*"&amp;D24&amp;"*")+COUNTIF(matplotlib!D:D, "*"&amp;D24&amp;"*")+COUNTIF('redis-py'!D:D, "*"&amp;D24&amp;"*")+COUNTIF(tornado!D:D, "*"&amp;D24&amp;"*")+COUNTIF(NetworkX!D:D, "*"&amp;D24&amp;"*")+COUNTIF(rich!D:D, "*"&amp;D24&amp;"*")+COUNTIF(tensorflow!D:D, "*"&amp;D24&amp;"*")+COUNTIF(fastAPI!D:D, "*"&amp;D24&amp;"*")+COUNTIF(httpx!D:D, "*"&amp;D24&amp;"*")+COUNTIF(transformers!D:D, "*"&amp;D24&amp;"*")+COUNTIF(django!D:D, "*"&amp;D24&amp;"*")+COUNTIF(xgboost!D:D, "*"&amp;D24&amp;"*")+COUNTIF(keras!D:D, "*"&amp;D24&amp;"*")+COUNTIF(pytorch!D:D, "*"&amp;D24&amp;"*")+COUNTIF(plotly.py!D:D, "*"&amp;D24&amp;"*")+COUNTIF(dask!D:D, "*"&amp;D24&amp;"*")+COUNTIF(polars!D:D, "*"&amp;D24&amp;"*")+COUNTIF(loguru!D:D, "*"&amp;D24&amp;"*")+COUNTIF(LightGBM!D:D, "*"&amp;D24&amp;"*")+COUNTIF(sympy!D:D, "*"&amp;D24&amp;"*")+COUNTIF(spaCy!D:D, "*"&amp;D24&amp;"*")+COUNTIF(gensim!D:D, "*"&amp;D24&amp;"*")+COUNTIF(jax!D:D, "*"&amp;D24&amp;"*")+COUNTIF(aiohttp!D:D, "*"&amp;D24&amp;"*")+COUNTIF(faker!D:D, "*"&amp;D24&amp;"*")</f>
        <v>3</v>
      </c>
      <c r="I24" s="29"/>
      <c r="J24" t="s">
        <v>700</v>
      </c>
      <c r="K24">
        <v>0</v>
      </c>
    </row>
    <row r="25" spans="4:32">
      <c r="D25" t="s">
        <v>612</v>
      </c>
      <c r="E25" s="5">
        <f>COUNTIF(request!D:D, "*"&amp;D25&amp;"*")+COUNTIF(numpy!D:D, "*"&amp;D25&amp;"*")+COUNTIF(pandas!D:D, "*"&amp;D25&amp;"*")+COUNTIF(click!D:D, "*"&amp;D25&amp;"*")+COUNTIF(flask!D:D, "*"&amp;D25&amp;"*")+COUNTIF(pydantic!D:D, "*"&amp;D25&amp;"*")+COUNTIF(SciPy!D:D, "*"&amp;D25&amp;"*")+COUNTIF(pillow!D:D, "*"&amp;D25&amp;"*")+COUNTIF('scikit-learn'!D:D, "*"&amp;D25&amp;"*")+COUNTIF(matplotlib!D:D, "*"&amp;D25&amp;"*")+COUNTIF('redis-py'!D:D, "*"&amp;D25&amp;"*")+COUNTIF(tornado!D:D, "*"&amp;D25&amp;"*")+COUNTIF(NetworkX!D:D, "*"&amp;D25&amp;"*")+COUNTIF(rich!D:D, "*"&amp;D25&amp;"*")+COUNTIF(tensorflow!D:D, "*"&amp;D25&amp;"*")+COUNTIF(fastAPI!D:D, "*"&amp;D25&amp;"*")+COUNTIF(httpx!D:D, "*"&amp;D25&amp;"*")+COUNTIF(transformers!D:D, "*"&amp;D25&amp;"*")+COUNTIF(django!D:D, "*"&amp;D25&amp;"*")+COUNTIF(xgboost!D:D, "*"&amp;D25&amp;"*")+COUNTIF(keras!D:D, "*"&amp;D25&amp;"*")+COUNTIF(pytorch!D:D, "*"&amp;D25&amp;"*")+COUNTIF(plotly.py!D:D, "*"&amp;D25&amp;"*")+COUNTIF(dask!D:D, "*"&amp;D25&amp;"*")+COUNTIF(polars!D:D, "*"&amp;D25&amp;"*")+COUNTIF(loguru!D:D, "*"&amp;D25&amp;"*")+COUNTIF(LightGBM!D:D, "*"&amp;D25&amp;"*")+COUNTIF(sympy!D:D, "*"&amp;D25&amp;"*")+COUNTIF(spaCy!D:D, "*"&amp;D25&amp;"*")+COUNTIF(gensim!D:D, "*"&amp;D25&amp;"*")+COUNTIF(jax!D:D, "*"&amp;D25&amp;"*")+COUNTIF(aiohttp!D:D, "*"&amp;D25&amp;"*")+COUNTIF(faker!D:D, "*"&amp;D25&amp;"*")</f>
        <v>6</v>
      </c>
      <c r="I25" s="29"/>
      <c r="J25" t="s">
        <v>701</v>
      </c>
      <c r="K25">
        <v>0</v>
      </c>
    </row>
    <row r="26" spans="4:32">
      <c r="D26" t="s">
        <v>667</v>
      </c>
      <c r="E26" s="5">
        <f>COUNTIF(request!D:D, "*"&amp;D26&amp;"*")+COUNTIF(numpy!D:D, "*"&amp;D26&amp;"*")+COUNTIF(pandas!D:D, "*"&amp;D26&amp;"*")+COUNTIF(click!D:D, "*"&amp;D26&amp;"*")+COUNTIF(flask!D:D, "*"&amp;D26&amp;"*")+COUNTIF(pydantic!D:D, "*"&amp;D26&amp;"*")+COUNTIF(SciPy!D:D, "*"&amp;D26&amp;"*")+COUNTIF(pillow!D:D, "*"&amp;D26&amp;"*")+COUNTIF('scikit-learn'!D:D, "*"&amp;D26&amp;"*")+COUNTIF(matplotlib!D:D, "*"&amp;D26&amp;"*")+COUNTIF('redis-py'!D:D, "*"&amp;D26&amp;"*")+COUNTIF(tornado!D:D, "*"&amp;D26&amp;"*")+COUNTIF(NetworkX!D:D, "*"&amp;D26&amp;"*")+COUNTIF(rich!D:D, "*"&amp;D26&amp;"*")+COUNTIF(tensorflow!D:D, "*"&amp;D26&amp;"*")+COUNTIF(fastAPI!D:D, "*"&amp;D26&amp;"*")+COUNTIF(httpx!D:D, "*"&amp;D26&amp;"*")+COUNTIF(transformers!D:D, "*"&amp;D26&amp;"*")+COUNTIF(django!D:D, "*"&amp;D26&amp;"*")+COUNTIF(xgboost!D:D, "*"&amp;D26&amp;"*")+COUNTIF(keras!D:D, "*"&amp;D26&amp;"*")+COUNTIF(pytorch!D:D, "*"&amp;D26&amp;"*")+COUNTIF(plotly.py!D:D, "*"&amp;D26&amp;"*")+COUNTIF(dask!D:D, "*"&amp;D26&amp;"*")+COUNTIF(polars!D:D, "*"&amp;D26&amp;"*")+COUNTIF(loguru!D:D, "*"&amp;D26&amp;"*")+COUNTIF(LightGBM!D:D, "*"&amp;D26&amp;"*")+COUNTIF(sympy!D:D, "*"&amp;D26&amp;"*")+COUNTIF(spaCy!D:D, "*"&amp;D26&amp;"*")+COUNTIF(gensim!D:D, "*"&amp;D26&amp;"*")+COUNTIF(jax!D:D, "*"&amp;D26&amp;"*")+COUNTIF(aiohttp!D:D, "*"&amp;D26&amp;"*")+COUNTIF(faker!D:D, "*"&amp;D26&amp;"*")</f>
        <v>2</v>
      </c>
      <c r="I26" s="29"/>
      <c r="J26" t="s">
        <v>702</v>
      </c>
      <c r="K26">
        <v>1</v>
      </c>
    </row>
    <row r="27" spans="4:32">
      <c r="D27" t="s">
        <v>555</v>
      </c>
      <c r="E27" s="5">
        <f>COUNTIF(request!D:D, "*"&amp;D27&amp;"*")+COUNTIF(numpy!D:D, "*"&amp;D27&amp;"*")+COUNTIF(pandas!D:D, "*"&amp;D27&amp;"*")+COUNTIF(click!D:D, "*"&amp;D27&amp;"*")+COUNTIF(flask!D:D, "*"&amp;D27&amp;"*")+COUNTIF(pydantic!D:D, "*"&amp;D27&amp;"*")+COUNTIF(SciPy!D:D, "*"&amp;D27&amp;"*")+COUNTIF(pillow!D:D, "*"&amp;D27&amp;"*")+COUNTIF('scikit-learn'!D:D, "*"&amp;D27&amp;"*")+COUNTIF(matplotlib!D:D, "*"&amp;D27&amp;"*")+COUNTIF('redis-py'!D:D, "*"&amp;D27&amp;"*")+COUNTIF(tornado!D:D, "*"&amp;D27&amp;"*")+COUNTIF(NetworkX!D:D, "*"&amp;D27&amp;"*")+COUNTIF(rich!D:D, "*"&amp;D27&amp;"*")+COUNTIF(tensorflow!D:D, "*"&amp;D27&amp;"*")+COUNTIF(fastAPI!D:D, "*"&amp;D27&amp;"*")+COUNTIF(httpx!D:D, "*"&amp;D27&amp;"*")+COUNTIF(transformers!D:D, "*"&amp;D27&amp;"*")+COUNTIF(django!D:D, "*"&amp;D27&amp;"*")+COUNTIF(xgboost!D:D, "*"&amp;D27&amp;"*")+COUNTIF(keras!D:D, "*"&amp;D27&amp;"*")+COUNTIF(pytorch!D:D, "*"&amp;D27&amp;"*")+COUNTIF(plotly.py!D:D, "*"&amp;D27&amp;"*")+COUNTIF(dask!D:D, "*"&amp;D27&amp;"*")+COUNTIF(polars!D:D, "*"&amp;D27&amp;"*")+COUNTIF(loguru!D:D, "*"&amp;D27&amp;"*")+COUNTIF(LightGBM!D:D, "*"&amp;D27&amp;"*")+COUNTIF(sympy!D:D, "*"&amp;D27&amp;"*")+COUNTIF(spaCy!D:D, "*"&amp;D27&amp;"*")+COUNTIF(gensim!D:D, "*"&amp;D27&amp;"*")+COUNTIF(jax!D:D, "*"&amp;D27&amp;"*")+COUNTIF(aiohttp!D:D, "*"&amp;D27&amp;"*")+COUNTIF(faker!D:D, "*"&amp;D27&amp;"*")</f>
        <v>13</v>
      </c>
      <c r="I27" s="1" t="s">
        <v>733</v>
      </c>
      <c r="J27" s="14">
        <f>(B1-J22-K23-K24-K25-K26)/B1</f>
        <v>0.99460916442048519</v>
      </c>
    </row>
    <row r="28" spans="4:32">
      <c r="D28" t="s">
        <v>668</v>
      </c>
      <c r="E28" s="5">
        <f>COUNTIF(request!D:D, "*"&amp;D28&amp;"*")+COUNTIF(numpy!D:D, "*"&amp;D28&amp;"*")+COUNTIF(pandas!D:D, "*"&amp;D28&amp;"*")+COUNTIF(click!D:D, "*"&amp;D28&amp;"*")+COUNTIF(flask!D:D, "*"&amp;D28&amp;"*")+COUNTIF(pydantic!D:D, "*"&amp;D28&amp;"*")+COUNTIF(SciPy!D:D, "*"&amp;D28&amp;"*")+COUNTIF(pillow!D:D, "*"&amp;D28&amp;"*")+COUNTIF('scikit-learn'!D:D, "*"&amp;D28&amp;"*")+COUNTIF(matplotlib!D:D, "*"&amp;D28&amp;"*")+COUNTIF('redis-py'!D:D, "*"&amp;D28&amp;"*")+COUNTIF(tornado!D:D, "*"&amp;D28&amp;"*")+COUNTIF(NetworkX!D:D, "*"&amp;D28&amp;"*")+COUNTIF(rich!D:D, "*"&amp;D28&amp;"*")+COUNTIF(tensorflow!D:D, "*"&amp;D28&amp;"*")+COUNTIF(fastAPI!D:D, "*"&amp;D28&amp;"*")+COUNTIF(httpx!D:D, "*"&amp;D28&amp;"*")+COUNTIF(transformers!D:D, "*"&amp;D28&amp;"*")+COUNTIF(django!D:D, "*"&amp;D28&amp;"*")+COUNTIF(xgboost!D:D, "*"&amp;D28&amp;"*")+COUNTIF(keras!D:D, "*"&amp;D28&amp;"*")+COUNTIF(pytorch!D:D, "*"&amp;D28&amp;"*")+COUNTIF(plotly.py!D:D, "*"&amp;D28&amp;"*")+COUNTIF(dask!D:D, "*"&amp;D28&amp;"*")+COUNTIF(polars!D:D, "*"&amp;D28&amp;"*")+COUNTIF(loguru!D:D, "*"&amp;D28&amp;"*")+COUNTIF(LightGBM!D:D, "*"&amp;D28&amp;"*")+COUNTIF(sympy!D:D, "*"&amp;D28&amp;"*")+COUNTIF(spaCy!D:D, "*"&amp;D28&amp;"*")+COUNTIF(gensim!D:D, "*"&amp;D28&amp;"*")+COUNTIF(jax!D:D, "*"&amp;D28&amp;"*")+COUNTIF(aiohttp!D:D, "*"&amp;D28&amp;"*")+COUNTIF(faker!D:D, "*"&amp;D28&amp;"*")</f>
        <v>4</v>
      </c>
      <c r="F28">
        <f>E28-E29</f>
        <v>2</v>
      </c>
    </row>
    <row r="29" spans="4:32">
      <c r="D29" t="s">
        <v>669</v>
      </c>
      <c r="E29" s="5">
        <f>COUNTIF(request!D:D, "*"&amp;D29&amp;"*")+COUNTIF(numpy!D:D, "*"&amp;D29&amp;"*")+COUNTIF(pandas!D:D, "*"&amp;D29&amp;"*")+COUNTIF(click!D:D, "*"&amp;D29&amp;"*")+COUNTIF(flask!D:D, "*"&amp;D29&amp;"*")+COUNTIF(pydantic!D:D, "*"&amp;D29&amp;"*")+COUNTIF(SciPy!D:D, "*"&amp;D29&amp;"*")+COUNTIF(pillow!D:D, "*"&amp;D29&amp;"*")+COUNTIF('scikit-learn'!D:D, "*"&amp;D29&amp;"*")+COUNTIF(matplotlib!D:D, "*"&amp;D29&amp;"*")+COUNTIF('redis-py'!D:D, "*"&amp;D29&amp;"*")+COUNTIF(tornado!D:D, "*"&amp;D29&amp;"*")+COUNTIF(NetworkX!D:D, "*"&amp;D29&amp;"*")+COUNTIF(rich!D:D, "*"&amp;D29&amp;"*")+COUNTIF(tensorflow!D:D, "*"&amp;D29&amp;"*")+COUNTIF(fastAPI!D:D, "*"&amp;D29&amp;"*")+COUNTIF(httpx!D:D, "*"&amp;D29&amp;"*")+COUNTIF(transformers!D:D, "*"&amp;D29&amp;"*")+COUNTIF(django!D:D, "*"&amp;D29&amp;"*")+COUNTIF(xgboost!D:D, "*"&amp;D29&amp;"*")+COUNTIF(keras!D:D, "*"&amp;D29&amp;"*")+COUNTIF(pytorch!D:D, "*"&amp;D29&amp;"*")+COUNTIF(plotly.py!D:D, "*"&amp;D29&amp;"*")+COUNTIF(dask!D:D, "*"&amp;D29&amp;"*")+COUNTIF(polars!D:D, "*"&amp;D29&amp;"*")+COUNTIF(loguru!D:D, "*"&amp;D29&amp;"*")+COUNTIF(LightGBM!D:D, "*"&amp;D29&amp;"*")+COUNTIF(sympy!D:D, "*"&amp;D29&amp;"*")+COUNTIF(spaCy!D:D, "*"&amp;D29&amp;"*")+COUNTIF(gensim!D:D, "*"&amp;D29&amp;"*")+COUNTIF(jax!D:D, "*"&amp;D29&amp;"*")+COUNTIF(aiohttp!D:D, "*"&amp;D29&amp;"*")+COUNTIF(faker!D:D, "*"&amp;D29&amp;"*")</f>
        <v>2</v>
      </c>
    </row>
    <row r="30" spans="4:32">
      <c r="D30" t="s">
        <v>570</v>
      </c>
      <c r="E30" s="5">
        <f>COUNTIF(request!D:D, "*"&amp;D30&amp;"*")+COUNTIF(numpy!D:D, "*"&amp;D30&amp;"*")+COUNTIF(pandas!D:D, "*"&amp;D30&amp;"*")+COUNTIF(click!D:D, "*"&amp;D30&amp;"*")+COUNTIF(flask!D:D, "*"&amp;D30&amp;"*")+COUNTIF(pydantic!D:D, "*"&amp;D30&amp;"*")+COUNTIF(SciPy!D:D, "*"&amp;D30&amp;"*")+COUNTIF(pillow!D:D, "*"&amp;D30&amp;"*")+COUNTIF('scikit-learn'!D:D, "*"&amp;D30&amp;"*")+COUNTIF(matplotlib!D:D, "*"&amp;D30&amp;"*")+COUNTIF('redis-py'!D:D, "*"&amp;D30&amp;"*")+COUNTIF(tornado!D:D, "*"&amp;D30&amp;"*")+COUNTIF(NetworkX!D:D, "*"&amp;D30&amp;"*")+COUNTIF(rich!D:D, "*"&amp;D30&amp;"*")+COUNTIF(tensorflow!D:D, "*"&amp;D30&amp;"*")+COUNTIF(fastAPI!D:D, "*"&amp;D30&amp;"*")+COUNTIF(httpx!D:D, "*"&amp;D30&amp;"*")+COUNTIF(transformers!D:D, "*"&amp;D30&amp;"*")+COUNTIF(django!D:D, "*"&amp;D30&amp;"*")+COUNTIF(xgboost!D:D, "*"&amp;D30&amp;"*")+COUNTIF(keras!D:D, "*"&amp;D30&amp;"*")+COUNTIF(pytorch!D:D, "*"&amp;D30&amp;"*")+COUNTIF(plotly.py!D:D, "*"&amp;D30&amp;"*")+COUNTIF(dask!D:D, "*"&amp;D30&amp;"*")+COUNTIF(polars!D:D, "*"&amp;D30&amp;"*")+COUNTIF(loguru!D:D, "*"&amp;D30&amp;"*")+COUNTIF(LightGBM!D:D, "*"&amp;D30&amp;"*")+COUNTIF(sympy!D:D, "*"&amp;D30&amp;"*")+COUNTIF(spaCy!D:D, "*"&amp;D30&amp;"*")+COUNTIF(gensim!D:D, "*"&amp;D30&amp;"*")+COUNTIF(jax!D:D, "*"&amp;D30&amp;"*")+COUNTIF(aiohttp!D:D, "*"&amp;D30&amp;"*")+COUNTIF(faker!D:D, "*"&amp;D30&amp;"*")</f>
        <v>96</v>
      </c>
    </row>
    <row r="31" spans="4:32">
      <c r="D31" t="s">
        <v>636</v>
      </c>
      <c r="E31" s="5">
        <f>COUNTIF(request!D:D, "*"&amp;D31&amp;"*")+COUNTIF(numpy!D:D, "*"&amp;D31&amp;"*")+COUNTIF(pandas!D:D, "*"&amp;D31&amp;"*")+COUNTIF(click!D:D, "*"&amp;D31&amp;"*")+COUNTIF(flask!D:D, "*"&amp;D31&amp;"*")+COUNTIF(pydantic!D:D, "*"&amp;D31&amp;"*")+COUNTIF(SciPy!D:D, "*"&amp;D31&amp;"*")+COUNTIF(pillow!D:D, "*"&amp;D31&amp;"*")+COUNTIF('scikit-learn'!D:D, "*"&amp;D31&amp;"*")+COUNTIF(matplotlib!D:D, "*"&amp;D31&amp;"*")+COUNTIF('redis-py'!D:D, "*"&amp;D31&amp;"*")+COUNTIF(tornado!D:D, "*"&amp;D31&amp;"*")+COUNTIF(NetworkX!D:D, "*"&amp;D31&amp;"*")+COUNTIF(rich!D:D, "*"&amp;D31&amp;"*")+COUNTIF(tensorflow!D:D, "*"&amp;D31&amp;"*")+COUNTIF(fastAPI!D:D, "*"&amp;D31&amp;"*")+COUNTIF(httpx!D:D, "*"&amp;D31&amp;"*")+COUNTIF(transformers!D:D, "*"&amp;D31&amp;"*")+COUNTIF(django!D:D, "*"&amp;D31&amp;"*")+COUNTIF(xgboost!D:D, "*"&amp;D31&amp;"*")+COUNTIF(keras!D:D, "*"&amp;D31&amp;"*")+COUNTIF(pytorch!D:D, "*"&amp;D31&amp;"*")+COUNTIF(plotly.py!D:D, "*"&amp;D31&amp;"*")+COUNTIF(dask!D:D, "*"&amp;D31&amp;"*")+COUNTIF(polars!D:D, "*"&amp;D31&amp;"*")+COUNTIF(loguru!D:D, "*"&amp;D31&amp;"*")+COUNTIF(LightGBM!D:D, "*"&amp;D31&amp;"*")+COUNTIF(sympy!D:D, "*"&amp;D31&amp;"*")+COUNTIF(spaCy!D:D, "*"&amp;D31&amp;"*")+COUNTIF(gensim!D:D, "*"&amp;D31&amp;"*")+COUNTIF(jax!D:D, "*"&amp;D31&amp;"*")+COUNTIF(aiohttp!D:D, "*"&amp;D31&amp;"*")+COUNTIF(faker!D:D, "*"&amp;D31&amp;"*")</f>
        <v>16</v>
      </c>
    </row>
    <row r="32" spans="4:32">
      <c r="D32" t="s">
        <v>670</v>
      </c>
      <c r="E32" s="5">
        <f>COUNTIF(request!D:D, "*"&amp;D32&amp;"*")+COUNTIF(numpy!D:D, "*"&amp;D32&amp;"*")+COUNTIF(pandas!D:D, "*"&amp;D32&amp;"*")+COUNTIF(click!D:D, "*"&amp;D32&amp;"*")+COUNTIF(flask!D:D, "*"&amp;D32&amp;"*")+COUNTIF(pydantic!D:D, "*"&amp;D32&amp;"*")+COUNTIF(SciPy!D:D, "*"&amp;D32&amp;"*")+COUNTIF(pillow!D:D, "*"&amp;D32&amp;"*")+COUNTIF('scikit-learn'!D:D, "*"&amp;D32&amp;"*")+COUNTIF(matplotlib!D:D, "*"&amp;D32&amp;"*")+COUNTIF('redis-py'!D:D, "*"&amp;D32&amp;"*")+COUNTIF(tornado!D:D, "*"&amp;D32&amp;"*")+COUNTIF(NetworkX!D:D, "*"&amp;D32&amp;"*")+COUNTIF(rich!D:D, "*"&amp;D32&amp;"*")+COUNTIF(tensorflow!D:D, "*"&amp;D32&amp;"*")+COUNTIF(fastAPI!D:D, "*"&amp;D32&amp;"*")+COUNTIF(httpx!D:D, "*"&amp;D32&amp;"*")+COUNTIF(transformers!D:D, "*"&amp;D32&amp;"*")+COUNTIF(django!D:D, "*"&amp;D32&amp;"*")+COUNTIF(xgboost!D:D, "*"&amp;D32&amp;"*")+COUNTIF(keras!D:D, "*"&amp;D32&amp;"*")+COUNTIF(pytorch!D:D, "*"&amp;D32&amp;"*")+COUNTIF(plotly.py!D:D, "*"&amp;D32&amp;"*")+COUNTIF(dask!D:D, "*"&amp;D32&amp;"*")+COUNTIF(polars!D:D, "*"&amp;D32&amp;"*")+COUNTIF(loguru!D:D, "*"&amp;D32&amp;"*")+COUNTIF(LightGBM!D:D, "*"&amp;D32&amp;"*")+COUNTIF(sympy!D:D, "*"&amp;D32&amp;"*")+COUNTIF(spaCy!D:D, "*"&amp;D32&amp;"*")+COUNTIF(gensim!D:D, "*"&amp;D32&amp;"*")+COUNTIF(jax!D:D, "*"&amp;D32&amp;"*")+COUNTIF(aiohttp!D:D, "*"&amp;D32&amp;"*")+COUNTIF(faker!D:D, "*"&amp;D32&amp;"*")</f>
        <v>6</v>
      </c>
      <c r="T32" s="11"/>
      <c r="U32" s="11"/>
      <c r="V32" s="11"/>
      <c r="W32" s="11"/>
      <c r="X32" s="11"/>
      <c r="Y32" s="11"/>
      <c r="Z32" s="11"/>
      <c r="AA32" s="11"/>
      <c r="AB32" s="11"/>
      <c r="AC32" s="11"/>
      <c r="AD32" s="11"/>
      <c r="AE32" s="11"/>
      <c r="AF32" s="11"/>
    </row>
    <row r="33" spans="4:32">
      <c r="D33" t="s">
        <v>671</v>
      </c>
      <c r="E33" s="5">
        <f>COUNTIF(request!D:D, "*"&amp;D33&amp;"*")+COUNTIF(numpy!D:D, "*"&amp;D33&amp;"*")+COUNTIF(pandas!D:D, "*"&amp;D33&amp;"*")+COUNTIF(click!D:D, "*"&amp;D33&amp;"*")+COUNTIF(flask!D:D, "*"&amp;D33&amp;"*")+COUNTIF(pydantic!D:D, "*"&amp;D33&amp;"*")+COUNTIF(SciPy!D:D, "*"&amp;D33&amp;"*")+COUNTIF(pillow!D:D, "*"&amp;D33&amp;"*")+COUNTIF('scikit-learn'!D:D, "*"&amp;D33&amp;"*")+COUNTIF(matplotlib!D:D, "*"&amp;D33&amp;"*")+COUNTIF('redis-py'!D:D, "*"&amp;D33&amp;"*")+COUNTIF(tornado!D:D, "*"&amp;D33&amp;"*")+COUNTIF(NetworkX!D:D, "*"&amp;D33&amp;"*")+COUNTIF(rich!D:D, "*"&amp;D33&amp;"*")+COUNTIF(tensorflow!D:D, "*"&amp;D33&amp;"*")+COUNTIF(fastAPI!D:D, "*"&amp;D33&amp;"*")+COUNTIF(httpx!D:D, "*"&amp;D33&amp;"*")+COUNTIF(transformers!D:D, "*"&amp;D33&amp;"*")+COUNTIF(django!D:D, "*"&amp;D33&amp;"*")+COUNTIF(xgboost!D:D, "*"&amp;D33&amp;"*")+COUNTIF(keras!D:D, "*"&amp;D33&amp;"*")+COUNTIF(pytorch!D:D, "*"&amp;D33&amp;"*")+COUNTIF(plotly.py!D:D, "*"&amp;D33&amp;"*")+COUNTIF(dask!D:D, "*"&amp;D33&amp;"*")+COUNTIF(polars!D:D, "*"&amp;D33&amp;"*")+COUNTIF(loguru!D:D, "*"&amp;D33&amp;"*")+COUNTIF(LightGBM!D:D, "*"&amp;D33&amp;"*")+COUNTIF(sympy!D:D, "*"&amp;D33&amp;"*")+COUNTIF(spaCy!D:D, "*"&amp;D33&amp;"*")+COUNTIF(gensim!D:D, "*"&amp;D33&amp;"*")+COUNTIF(jax!D:D, "*"&amp;D33&amp;"*")+COUNTIF(aiohttp!D:D, "*"&amp;D33&amp;"*")+COUNTIF(faker!D:D, "*"&amp;D33&amp;"*")</f>
        <v>12</v>
      </c>
      <c r="T33" s="11"/>
      <c r="U33" s="11"/>
      <c r="V33" s="11"/>
      <c r="W33" s="11"/>
      <c r="X33" s="11"/>
      <c r="Y33" s="11"/>
      <c r="Z33" s="11"/>
      <c r="AA33" s="11"/>
      <c r="AB33" s="11"/>
      <c r="AC33" s="11"/>
      <c r="AD33" s="11"/>
      <c r="AE33" s="11"/>
      <c r="AF33" s="11"/>
    </row>
    <row r="34" spans="4:32">
      <c r="D34" t="s">
        <v>672</v>
      </c>
      <c r="E34" s="5">
        <f>COUNTIF(request!D:D, "*"&amp;D34&amp;"*")+COUNTIF(numpy!D:D, "*"&amp;D34&amp;"*")+COUNTIF(pandas!D:D, "*"&amp;D34&amp;"*")+COUNTIF(click!D:D, "*"&amp;D34&amp;"*")+COUNTIF(flask!D:D, "*"&amp;D34&amp;"*")+COUNTIF(pydantic!D:D, "*"&amp;D34&amp;"*")+COUNTIF(SciPy!D:D, "*"&amp;D34&amp;"*")+COUNTIF(pillow!D:D, "*"&amp;D34&amp;"*")+COUNTIF('scikit-learn'!D:D, "*"&amp;D34&amp;"*")+COUNTIF(matplotlib!D:D, "*"&amp;D34&amp;"*")+COUNTIF('redis-py'!D:D, "*"&amp;D34&amp;"*")+COUNTIF(tornado!D:D, "*"&amp;D34&amp;"*")+COUNTIF(NetworkX!D:D, "*"&amp;D34&amp;"*")+COUNTIF(rich!D:D, "*"&amp;D34&amp;"*")+COUNTIF(tensorflow!D:D, "*"&amp;D34&amp;"*")+COUNTIF(fastAPI!D:D, "*"&amp;D34&amp;"*")+COUNTIF(httpx!D:D, "*"&amp;D34&amp;"*")+COUNTIF(transformers!D:D, "*"&amp;D34&amp;"*")+COUNTIF(django!D:D, "*"&amp;D34&amp;"*")+COUNTIF(xgboost!D:D, "*"&amp;D34&amp;"*")+COUNTIF(keras!D:D, "*"&amp;D34&amp;"*")+COUNTIF(pytorch!D:D, "*"&amp;D34&amp;"*")+COUNTIF(plotly.py!D:D, "*"&amp;D34&amp;"*")+COUNTIF(dask!D:D, "*"&amp;D34&amp;"*")+COUNTIF(polars!D:D, "*"&amp;D34&amp;"*")+COUNTIF(loguru!D:D, "*"&amp;D34&amp;"*")+COUNTIF(LightGBM!D:D, "*"&amp;D34&amp;"*")+COUNTIF(sympy!D:D, "*"&amp;D34&amp;"*")+COUNTIF(spaCy!D:D, "*"&amp;D34&amp;"*")+COUNTIF(gensim!D:D, "*"&amp;D34&amp;"*")+COUNTIF(jax!D:D, "*"&amp;D34&amp;"*")+COUNTIF(aiohttp!D:D, "*"&amp;D34&amp;"*")+COUNTIF(faker!D:D, "*"&amp;D34&amp;"*")</f>
        <v>2</v>
      </c>
      <c r="T34" s="11"/>
      <c r="U34" s="11"/>
      <c r="V34" s="11"/>
      <c r="W34" s="11"/>
      <c r="X34" s="11"/>
      <c r="Y34" s="11"/>
      <c r="Z34" s="11"/>
      <c r="AA34" s="11"/>
      <c r="AB34" s="11"/>
      <c r="AC34" s="11"/>
      <c r="AD34" s="11"/>
      <c r="AE34" s="11"/>
      <c r="AF34" s="11"/>
    </row>
    <row r="35" spans="4:32">
      <c r="D35" t="s">
        <v>673</v>
      </c>
      <c r="E35" s="5">
        <f>COUNTIF(request!D:D, "*"&amp;D35&amp;"*")+COUNTIF(numpy!D:D, "*"&amp;D35&amp;"*")+COUNTIF(pandas!D:D, "*"&amp;D35&amp;"*")+COUNTIF(click!D:D, "*"&amp;D35&amp;"*")+COUNTIF(flask!D:D, "*"&amp;D35&amp;"*")+COUNTIF(pydantic!D:D, "*"&amp;D35&amp;"*")+COUNTIF(SciPy!D:D, "*"&amp;D35&amp;"*")+COUNTIF(pillow!D:D, "*"&amp;D35&amp;"*")+COUNTIF('scikit-learn'!D:D, "*"&amp;D35&amp;"*")+COUNTIF(matplotlib!D:D, "*"&amp;D35&amp;"*")+COUNTIF('redis-py'!D:D, "*"&amp;D35&amp;"*")+COUNTIF(tornado!D:D, "*"&amp;D35&amp;"*")+COUNTIF(NetworkX!D:D, "*"&amp;D35&amp;"*")+COUNTIF(rich!D:D, "*"&amp;D35&amp;"*")+COUNTIF(tensorflow!D:D, "*"&amp;D35&amp;"*")+COUNTIF(fastAPI!D:D, "*"&amp;D35&amp;"*")+COUNTIF(httpx!D:D, "*"&amp;D35&amp;"*")+COUNTIF(transformers!D:D, "*"&amp;D35&amp;"*")+COUNTIF(django!D:D, "*"&amp;D35&amp;"*")+COUNTIF(xgboost!D:D, "*"&amp;D35&amp;"*")+COUNTIF(keras!D:D, "*"&amp;D35&amp;"*")+COUNTIF(pytorch!D:D, "*"&amp;D35&amp;"*")+COUNTIF(plotly.py!D:D, "*"&amp;D35&amp;"*")+COUNTIF(dask!D:D, "*"&amp;D35&amp;"*")+COUNTIF(polars!D:D, "*"&amp;D35&amp;"*")+COUNTIF(loguru!D:D, "*"&amp;D35&amp;"*")+COUNTIF(LightGBM!D:D, "*"&amp;D35&amp;"*")+COUNTIF(sympy!D:D, "*"&amp;D35&amp;"*")+COUNTIF(spaCy!D:D, "*"&amp;D35&amp;"*")+COUNTIF(gensim!D:D, "*"&amp;D35&amp;"*")+COUNTIF(jax!D:D, "*"&amp;D35&amp;"*")+COUNTIF(aiohttp!D:D, "*"&amp;D35&amp;"*")+COUNTIF(faker!D:D, "*"&amp;D35&amp;"*")</f>
        <v>1</v>
      </c>
      <c r="T35" s="11"/>
      <c r="U35" s="11"/>
      <c r="V35" s="11"/>
      <c r="W35" s="11"/>
      <c r="X35" s="11"/>
      <c r="Y35" s="11"/>
      <c r="Z35" s="11"/>
      <c r="AA35" s="11"/>
      <c r="AB35" s="11"/>
      <c r="AC35" s="11"/>
      <c r="AD35" s="11"/>
      <c r="AE35" s="11"/>
      <c r="AF35" s="11"/>
    </row>
    <row r="36" spans="4:32">
      <c r="D36" t="s">
        <v>640</v>
      </c>
      <c r="E36" s="5">
        <f>COUNTIF(request!D:D, "*"&amp;D36&amp;"*")+COUNTIF(numpy!D:D, "*"&amp;D36&amp;"*")+COUNTIF(pandas!D:D, "*"&amp;D36&amp;"*")+COUNTIF(click!D:D, "*"&amp;D36&amp;"*")+COUNTIF(flask!D:D, "*"&amp;D36&amp;"*")+COUNTIF(pydantic!D:D, "*"&amp;D36&amp;"*")+COUNTIF(SciPy!D:D, "*"&amp;D36&amp;"*")+COUNTIF(pillow!D:D, "*"&amp;D36&amp;"*")+COUNTIF('scikit-learn'!D:D, "*"&amp;D36&amp;"*")+COUNTIF(matplotlib!D:D, "*"&amp;D36&amp;"*")+COUNTIF('redis-py'!D:D, "*"&amp;D36&amp;"*")+COUNTIF(tornado!D:D, "*"&amp;D36&amp;"*")+COUNTIF(NetworkX!D:D, "*"&amp;D36&amp;"*")+COUNTIF(rich!D:D, "*"&amp;D36&amp;"*")+COUNTIF(tensorflow!D:D, "*"&amp;D36&amp;"*")+COUNTIF(fastAPI!D:D, "*"&amp;D36&amp;"*")+COUNTIF(httpx!D:D, "*"&amp;D36&amp;"*")+COUNTIF(transformers!D:D, "*"&amp;D36&amp;"*")+COUNTIF(django!D:D, "*"&amp;D36&amp;"*")+COUNTIF(xgboost!D:D, "*"&amp;D36&amp;"*")+COUNTIF(keras!D:D, "*"&amp;D36&amp;"*")+COUNTIF(pytorch!D:D, "*"&amp;D36&amp;"*")+COUNTIF(plotly.py!D:D, "*"&amp;D36&amp;"*")+COUNTIF(dask!D:D, "*"&amp;D36&amp;"*")+COUNTIF(polars!D:D, "*"&amp;D36&amp;"*")+COUNTIF(loguru!D:D, "*"&amp;D36&amp;"*")+COUNTIF(LightGBM!D:D, "*"&amp;D36&amp;"*")+COUNTIF(sympy!D:D, "*"&amp;D36&amp;"*")+COUNTIF(spaCy!D:D, "*"&amp;D36&amp;"*")+COUNTIF(gensim!D:D, "*"&amp;D36&amp;"*")+COUNTIF(jax!D:D, "*"&amp;D36&amp;"*")+COUNTIF(aiohttp!D:D, "*"&amp;D36&amp;"*")+COUNTIF(faker!D:D, "*"&amp;D36&amp;"*")</f>
        <v>1</v>
      </c>
      <c r="T36" s="11"/>
      <c r="U36" s="11"/>
      <c r="V36" s="11"/>
      <c r="W36" s="11"/>
      <c r="X36" s="11"/>
      <c r="Y36" s="11"/>
      <c r="Z36" s="11"/>
      <c r="AA36" s="11"/>
      <c r="AB36" s="11"/>
      <c r="AC36" s="11"/>
      <c r="AD36" s="11"/>
      <c r="AE36" s="11"/>
      <c r="AF36" s="11"/>
    </row>
    <row r="37" spans="4:32">
      <c r="D37" t="s">
        <v>639</v>
      </c>
      <c r="E37" s="5">
        <f>COUNTIF(request!D:D, "*"&amp;D37&amp;"*")+COUNTIF(numpy!D:D, "*"&amp;D37&amp;"*")+COUNTIF(pandas!D:D, "*"&amp;D37&amp;"*")+COUNTIF(click!D:D, "*"&amp;D37&amp;"*")+COUNTIF(flask!D:D, "*"&amp;D37&amp;"*")+COUNTIF(pydantic!D:D, "*"&amp;D37&amp;"*")+COUNTIF(SciPy!D:D, "*"&amp;D37&amp;"*")+COUNTIF(pillow!D:D, "*"&amp;D37&amp;"*")+COUNTIF('scikit-learn'!D:D, "*"&amp;D37&amp;"*")+COUNTIF(matplotlib!D:D, "*"&amp;D37&amp;"*")+COUNTIF('redis-py'!D:D, "*"&amp;D37&amp;"*")+COUNTIF(tornado!D:D, "*"&amp;D37&amp;"*")+COUNTIF(NetworkX!D:D, "*"&amp;D37&amp;"*")+COUNTIF(rich!D:D, "*"&amp;D37&amp;"*")+COUNTIF(tensorflow!D:D, "*"&amp;D37&amp;"*")+COUNTIF(fastAPI!D:D, "*"&amp;D37&amp;"*")+COUNTIF(httpx!D:D, "*"&amp;D37&amp;"*")+COUNTIF(transformers!D:D, "*"&amp;D37&amp;"*")+COUNTIF(django!D:D, "*"&amp;D37&amp;"*")+COUNTIF(xgboost!D:D, "*"&amp;D37&amp;"*")+COUNTIF(keras!D:D, "*"&amp;D37&amp;"*")+COUNTIF(pytorch!D:D, "*"&amp;D37&amp;"*")+COUNTIF(plotly.py!D:D, "*"&amp;D37&amp;"*")+COUNTIF(dask!D:D, "*"&amp;D37&amp;"*")+COUNTIF(polars!D:D, "*"&amp;D37&amp;"*")+COUNTIF(loguru!D:D, "*"&amp;D37&amp;"*")+COUNTIF(LightGBM!D:D, "*"&amp;D37&amp;"*")+COUNTIF(sympy!D:D, "*"&amp;D37&amp;"*")+COUNTIF(spaCy!D:D, "*"&amp;D37&amp;"*")+COUNTIF(gensim!D:D, "*"&amp;D37&amp;"*")+COUNTIF(jax!D:D, "*"&amp;D37&amp;"*")+COUNTIF(aiohttp!D:D, "*"&amp;D37&amp;"*")+COUNTIF(faker!D:D, "*"&amp;D37&amp;"*")</f>
        <v>1</v>
      </c>
      <c r="T37" s="11"/>
      <c r="U37" s="11"/>
      <c r="V37" s="11"/>
      <c r="W37" s="11"/>
      <c r="X37" s="11"/>
      <c r="Y37" s="11"/>
      <c r="Z37" s="11"/>
      <c r="AA37" s="11"/>
      <c r="AB37" s="11"/>
      <c r="AC37" s="11"/>
      <c r="AD37" s="11"/>
      <c r="AE37" s="11"/>
      <c r="AF37" s="11"/>
    </row>
    <row r="38" spans="4:32">
      <c r="D38" t="s">
        <v>554</v>
      </c>
      <c r="E38" s="5">
        <f>COUNTIF(request!D:D, "*"&amp;D38&amp;"*")+COUNTIF(numpy!D:D, "*"&amp;D38&amp;"*")+COUNTIF(pandas!D:D, "*"&amp;D38&amp;"*")+COUNTIF(click!D:D, "*"&amp;D38&amp;"*")+COUNTIF(flask!D:D, "*"&amp;D38&amp;"*")+COUNTIF(pydantic!D:D, "*"&amp;D38&amp;"*")+COUNTIF(SciPy!D:D, "*"&amp;D38&amp;"*")+COUNTIF(pillow!D:D, "*"&amp;D38&amp;"*")+COUNTIF('scikit-learn'!D:D, "*"&amp;D38&amp;"*")+COUNTIF(matplotlib!D:D, "*"&amp;D38&amp;"*")+COUNTIF('redis-py'!D:D, "*"&amp;D38&amp;"*")+COUNTIF(tornado!D:D, "*"&amp;D38&amp;"*")+COUNTIF(NetworkX!D:D, "*"&amp;D38&amp;"*")+COUNTIF(rich!D:D, "*"&amp;D38&amp;"*")+COUNTIF(tensorflow!D:D, "*"&amp;D38&amp;"*")+COUNTIF(fastAPI!D:D, "*"&amp;D38&amp;"*")+COUNTIF(httpx!D:D, "*"&amp;D38&amp;"*")+COUNTIF(transformers!D:D, "*"&amp;D38&amp;"*")+COUNTIF(django!D:D, "*"&amp;D38&amp;"*")+COUNTIF(xgboost!D:D, "*"&amp;D38&amp;"*")+COUNTIF(keras!D:D, "*"&amp;D38&amp;"*")+COUNTIF(pytorch!D:D, "*"&amp;D38&amp;"*")+COUNTIF(plotly.py!D:D, "*"&amp;D38&amp;"*")+COUNTIF(dask!D:D, "*"&amp;D38&amp;"*")+COUNTIF(polars!D:D, "*"&amp;D38&amp;"*")+COUNTIF(loguru!D:D, "*"&amp;D38&amp;"*")+COUNTIF(LightGBM!D:D, "*"&amp;D38&amp;"*")+COUNTIF(sympy!D:D, "*"&amp;D38&amp;"*")+COUNTIF(spaCy!D:D, "*"&amp;D38&amp;"*")+COUNTIF(gensim!D:D, "*"&amp;D38&amp;"*")+COUNTIF(jax!D:D, "*"&amp;D38&amp;"*")+COUNTIF(aiohttp!D:D, "*"&amp;D38&amp;"*")+COUNTIF(faker!D:D, "*"&amp;D38&amp;"*")</f>
        <v>14</v>
      </c>
      <c r="F38">
        <f>E38-E39</f>
        <v>6</v>
      </c>
      <c r="T38" s="11"/>
      <c r="U38" s="11"/>
      <c r="V38" s="11"/>
      <c r="W38" s="11"/>
      <c r="X38" s="11"/>
      <c r="Y38" s="11"/>
      <c r="Z38" s="11"/>
      <c r="AA38" s="11"/>
      <c r="AB38" s="11"/>
      <c r="AC38" s="11"/>
      <c r="AD38" s="11"/>
      <c r="AE38" s="11"/>
      <c r="AF38" s="11"/>
    </row>
    <row r="39" spans="4:32">
      <c r="D39" t="s">
        <v>579</v>
      </c>
      <c r="E39" s="5">
        <f>COUNTIF(request!D:D, "*"&amp;D39&amp;"*")+COUNTIF(numpy!D:D, "*"&amp;D39&amp;"*")+COUNTIF(pandas!D:D, "*"&amp;D39&amp;"*")+COUNTIF(click!D:D, "*"&amp;D39&amp;"*")+COUNTIF(flask!D:D, "*"&amp;D39&amp;"*")+COUNTIF(pydantic!D:D, "*"&amp;D39&amp;"*")+COUNTIF(SciPy!D:D, "*"&amp;D39&amp;"*")+COUNTIF(pillow!D:D, "*"&amp;D39&amp;"*")+COUNTIF('scikit-learn'!D:D, "*"&amp;D39&amp;"*")+COUNTIF(matplotlib!D:D, "*"&amp;D39&amp;"*")+COUNTIF('redis-py'!D:D, "*"&amp;D39&amp;"*")+COUNTIF(tornado!D:D, "*"&amp;D39&amp;"*")+COUNTIF(NetworkX!D:D, "*"&amp;D39&amp;"*")+COUNTIF(rich!D:D, "*"&amp;D39&amp;"*")+COUNTIF(tensorflow!D:D, "*"&amp;D39&amp;"*")+COUNTIF(fastAPI!D:D, "*"&amp;D39&amp;"*")+COUNTIF(httpx!D:D, "*"&amp;D39&amp;"*")+COUNTIF(transformers!D:D, "*"&amp;D39&amp;"*")+COUNTIF(django!D:D, "*"&amp;D39&amp;"*")+COUNTIF(xgboost!D:D, "*"&amp;D39&amp;"*")+COUNTIF(keras!D:D, "*"&amp;D39&amp;"*")+COUNTIF(pytorch!D:D, "*"&amp;D39&amp;"*")+COUNTIF(plotly.py!D:D, "*"&amp;D39&amp;"*")+COUNTIF(dask!D:D, "*"&amp;D39&amp;"*")+COUNTIF(polars!D:D, "*"&amp;D39&amp;"*")+COUNTIF(loguru!D:D, "*"&amp;D39&amp;"*")+COUNTIF(LightGBM!D:D, "*"&amp;D39&amp;"*")+COUNTIF(sympy!D:D, "*"&amp;D39&amp;"*")+COUNTIF(spaCy!D:D, "*"&amp;D39&amp;"*")+COUNTIF(gensim!D:D, "*"&amp;D39&amp;"*")+COUNTIF(jax!D:D, "*"&amp;D39&amp;"*")+COUNTIF(aiohttp!D:D, "*"&amp;D39&amp;"*")+COUNTIF(faker!D:D, "*"&amp;D39&amp;"*")</f>
        <v>8</v>
      </c>
      <c r="Q39" s="14"/>
      <c r="T39" s="11"/>
      <c r="U39" s="11"/>
      <c r="V39" s="11"/>
      <c r="W39" s="11"/>
      <c r="X39" s="11"/>
      <c r="Y39" s="11"/>
      <c r="Z39" s="11"/>
      <c r="AA39" s="11"/>
      <c r="AB39" s="11"/>
      <c r="AC39" s="11"/>
      <c r="AD39" s="11"/>
      <c r="AE39" s="11"/>
      <c r="AF39" s="11"/>
    </row>
    <row r="40" spans="4:32">
      <c r="D40" t="s">
        <v>603</v>
      </c>
      <c r="E40" s="5">
        <f>COUNTIF(request!D:D, "*"&amp;D40&amp;"*")+COUNTIF(numpy!D:D, "*"&amp;D40&amp;"*")+COUNTIF(pandas!D:D, "*"&amp;D40&amp;"*")+COUNTIF(click!D:D, "*"&amp;D40&amp;"*")+COUNTIF(flask!D:D, "*"&amp;D40&amp;"*")+COUNTIF(pydantic!D:D, "*"&amp;D40&amp;"*")+COUNTIF(SciPy!D:D, "*"&amp;D40&amp;"*")+COUNTIF(pillow!D:D, "*"&amp;D40&amp;"*")+COUNTIF('scikit-learn'!D:D, "*"&amp;D40&amp;"*")+COUNTIF(matplotlib!D:D, "*"&amp;D40&amp;"*")+COUNTIF('redis-py'!D:D, "*"&amp;D40&amp;"*")+COUNTIF(tornado!D:D, "*"&amp;D40&amp;"*")+COUNTIF(NetworkX!D:D, "*"&amp;D40&amp;"*")+COUNTIF(rich!D:D, "*"&amp;D40&amp;"*")+COUNTIF(tensorflow!D:D, "*"&amp;D40&amp;"*")+COUNTIF(fastAPI!D:D, "*"&amp;D40&amp;"*")+COUNTIF(httpx!D:D, "*"&amp;D40&amp;"*")+COUNTIF(transformers!D:D, "*"&amp;D40&amp;"*")+COUNTIF(django!D:D, "*"&amp;D40&amp;"*")+COUNTIF(xgboost!D:D, "*"&amp;D40&amp;"*")+COUNTIF(keras!D:D, "*"&amp;D40&amp;"*")+COUNTIF(pytorch!D:D, "*"&amp;D40&amp;"*")+COUNTIF(plotly.py!D:D, "*"&amp;D40&amp;"*")+COUNTIF(dask!D:D, "*"&amp;D40&amp;"*")+COUNTIF(polars!D:D, "*"&amp;D40&amp;"*")+COUNTIF(loguru!D:D, "*"&amp;D40&amp;"*")+COUNTIF(LightGBM!D:D, "*"&amp;D40&amp;"*")+COUNTIF(sympy!D:D, "*"&amp;D40&amp;"*")+COUNTIF(spaCy!D:D, "*"&amp;D40&amp;"*")+COUNTIF(gensim!D:D, "*"&amp;D40&amp;"*")+COUNTIF(jax!D:D, "*"&amp;D40&amp;"*")+COUNTIF(aiohttp!D:D, "*"&amp;D40&amp;"*")+COUNTIF(faker!D:D, "*"&amp;D40&amp;"*")</f>
        <v>150</v>
      </c>
      <c r="F40">
        <f>E40-E41-F42-F43-F7-E8</f>
        <v>2</v>
      </c>
      <c r="L40" s="16"/>
      <c r="Q40" s="16"/>
      <c r="T40" s="11"/>
      <c r="U40" s="11"/>
      <c r="V40" s="11"/>
      <c r="W40" s="11"/>
      <c r="X40" s="11"/>
      <c r="Y40" s="11"/>
      <c r="Z40" s="11"/>
      <c r="AA40" s="11"/>
      <c r="AB40" s="11"/>
      <c r="AC40" s="11"/>
      <c r="AD40" s="11"/>
      <c r="AE40" s="11"/>
      <c r="AF40" s="11"/>
    </row>
    <row r="41" spans="4:32">
      <c r="D41" t="s">
        <v>674</v>
      </c>
      <c r="E41" s="5">
        <f>COUNTIF(request!D:D, "*"&amp;D41&amp;"*")+COUNTIF(numpy!D:D, "*"&amp;D41&amp;"*")+COUNTIF(pandas!D:D, "*"&amp;D41&amp;"*")+COUNTIF(click!D:D, "*"&amp;D41&amp;"*")+COUNTIF(flask!D:D, "*"&amp;D41&amp;"*")+COUNTIF(pydantic!D:D, "*"&amp;D41&amp;"*")+COUNTIF(SciPy!D:D, "*"&amp;D41&amp;"*")+COUNTIF(pillow!D:D, "*"&amp;D41&amp;"*")+COUNTIF('scikit-learn'!D:D, "*"&amp;D41&amp;"*")+COUNTIF(matplotlib!D:D, "*"&amp;D41&amp;"*")+COUNTIF('redis-py'!D:D, "*"&amp;D41&amp;"*")+COUNTIF(tornado!D:D, "*"&amp;D41&amp;"*")+COUNTIF(NetworkX!D:D, "*"&amp;D41&amp;"*")+COUNTIF(rich!D:D, "*"&amp;D41&amp;"*")+COUNTIF(tensorflow!D:D, "*"&amp;D41&amp;"*")+COUNTIF(fastAPI!D:D, "*"&amp;D41&amp;"*")+COUNTIF(httpx!D:D, "*"&amp;D41&amp;"*")+COUNTIF(transformers!D:D, "*"&amp;D41&amp;"*")+COUNTIF(django!D:D, "*"&amp;D41&amp;"*")+COUNTIF(xgboost!D:D, "*"&amp;D41&amp;"*")+COUNTIF(keras!D:D, "*"&amp;D41&amp;"*")+COUNTIF(pytorch!D:D, "*"&amp;D41&amp;"*")+COUNTIF(plotly.py!D:D, "*"&amp;D41&amp;"*")+COUNTIF(dask!D:D, "*"&amp;D41&amp;"*")+COUNTIF(polars!D:D, "*"&amp;D41&amp;"*")+COUNTIF(loguru!D:D, "*"&amp;D41&amp;"*")+COUNTIF(LightGBM!D:D, "*"&amp;D41&amp;"*")+COUNTIF(sympy!D:D, "*"&amp;D41&amp;"*")+COUNTIF(spaCy!D:D, "*"&amp;D41&amp;"*")+COUNTIF(gensim!D:D, "*"&amp;D41&amp;"*")+COUNTIF(jax!D:D, "*"&amp;D41&amp;"*")+COUNTIF(aiohttp!D:D, "*"&amp;D41&amp;"*")+COUNTIF(faker!D:D, "*"&amp;D41&amp;"*")</f>
        <v>1</v>
      </c>
      <c r="L41" s="16"/>
      <c r="Q41" s="16"/>
      <c r="T41" s="11"/>
      <c r="U41" s="11"/>
      <c r="V41" s="11"/>
      <c r="W41" s="11"/>
      <c r="X41" s="11"/>
      <c r="Y41" s="11"/>
      <c r="Z41" s="11"/>
      <c r="AA41" s="11"/>
      <c r="AB41" s="11"/>
      <c r="AC41" s="11"/>
      <c r="AD41" s="11"/>
      <c r="AE41" s="11"/>
      <c r="AF41" s="11"/>
    </row>
    <row r="42" spans="4:32">
      <c r="D42" t="s">
        <v>565</v>
      </c>
      <c r="E42" s="5">
        <f>COUNTIF(request!D:D, "*"&amp;D42&amp;"*")+COUNTIF(numpy!D:D, "*"&amp;D42&amp;"*")+COUNTIF(pandas!D:D, "*"&amp;D42&amp;"*")+COUNTIF(click!D:D, "*"&amp;D42&amp;"*")+COUNTIF(flask!D:D, "*"&amp;D42&amp;"*")+COUNTIF(pydantic!D:D, "*"&amp;D42&amp;"*")+COUNTIF(SciPy!D:D, "*"&amp;D42&amp;"*")+COUNTIF(pillow!D:D, "*"&amp;D42&amp;"*")+COUNTIF('scikit-learn'!D:D, "*"&amp;D42&amp;"*")+COUNTIF(matplotlib!D:D, "*"&amp;D42&amp;"*")+COUNTIF('redis-py'!D:D, "*"&amp;D42&amp;"*")+COUNTIF(tornado!D:D, "*"&amp;D42&amp;"*")+COUNTIF(NetworkX!D:D, "*"&amp;D42&amp;"*")+COUNTIF(rich!D:D, "*"&amp;D42&amp;"*")+COUNTIF(tensorflow!D:D, "*"&amp;D42&amp;"*")+COUNTIF(fastAPI!D:D, "*"&amp;D42&amp;"*")+COUNTIF(httpx!D:D, "*"&amp;D42&amp;"*")+COUNTIF(transformers!D:D, "*"&amp;D42&amp;"*")+COUNTIF(django!D:D, "*"&amp;D42&amp;"*")+COUNTIF(xgboost!D:D, "*"&amp;D42&amp;"*")+COUNTIF(keras!D:D, "*"&amp;D42&amp;"*")+COUNTIF(pytorch!D:D, "*"&amp;D42&amp;"*")+COUNTIF(plotly.py!D:D, "*"&amp;D42&amp;"*")+COUNTIF(dask!D:D, "*"&amp;D42&amp;"*")+COUNTIF(polars!D:D, "*"&amp;D42&amp;"*")+COUNTIF(loguru!D:D, "*"&amp;D42&amp;"*")+COUNTIF(LightGBM!D:D, "*"&amp;D42&amp;"*")+COUNTIF(sympy!D:D, "*"&amp;D42&amp;"*")+COUNTIF(spaCy!D:D, "*"&amp;D42&amp;"*")+COUNTIF(gensim!D:D, "*"&amp;D42&amp;"*")+COUNTIF(jax!D:D, "*"&amp;D42&amp;"*")+COUNTIF(aiohttp!D:D, "*"&amp;D42&amp;"*")+COUNTIF(faker!D:D, "*"&amp;D42&amp;"*")</f>
        <v>128</v>
      </c>
      <c r="F42">
        <f>E42-E8</f>
        <v>13</v>
      </c>
      <c r="L42" s="16"/>
      <c r="Q42" s="16"/>
      <c r="T42" s="11"/>
      <c r="U42" s="11"/>
      <c r="V42" s="11"/>
      <c r="W42" s="11"/>
      <c r="X42" s="11"/>
      <c r="Y42" s="11"/>
      <c r="Z42" s="11"/>
      <c r="AA42" s="11"/>
      <c r="AB42" s="11"/>
      <c r="AC42" s="11"/>
      <c r="AD42" s="11"/>
      <c r="AE42" s="11"/>
      <c r="AF42" s="11"/>
    </row>
    <row r="43" spans="4:32">
      <c r="D43" t="s">
        <v>675</v>
      </c>
      <c r="E43" s="5">
        <f>COUNTIF(request!D:D, "*"&amp;D43&amp;"*")+COUNTIF(numpy!D:D, "*"&amp;D43&amp;"*")+COUNTIF(pandas!D:D, "*"&amp;D43&amp;"*")+COUNTIF(click!D:D, "*"&amp;D43&amp;"*")+COUNTIF(flask!D:D, "*"&amp;D43&amp;"*")+COUNTIF(pydantic!D:D, "*"&amp;D43&amp;"*")+COUNTIF(SciPy!D:D, "*"&amp;D43&amp;"*")+COUNTIF(pillow!D:D, "*"&amp;D43&amp;"*")+COUNTIF('scikit-learn'!D:D, "*"&amp;D43&amp;"*")+COUNTIF(matplotlib!D:D, "*"&amp;D43&amp;"*")+COUNTIF('redis-py'!D:D, "*"&amp;D43&amp;"*")+COUNTIF(tornado!D:D, "*"&amp;D43&amp;"*")+COUNTIF(NetworkX!D:D, "*"&amp;D43&amp;"*")+COUNTIF(rich!D:D, "*"&amp;D43&amp;"*")+COUNTIF(tensorflow!D:D, "*"&amp;D43&amp;"*")+COUNTIF(fastAPI!D:D, "*"&amp;D43&amp;"*")+COUNTIF(httpx!D:D, "*"&amp;D43&amp;"*")+COUNTIF(transformers!D:D, "*"&amp;D43&amp;"*")+COUNTIF(django!D:D, "*"&amp;D43&amp;"*")+COUNTIF(xgboost!D:D, "*"&amp;D43&amp;"*")+COUNTIF(keras!D:D, "*"&amp;D43&amp;"*")+COUNTIF(pytorch!D:D, "*"&amp;D43&amp;"*")+COUNTIF(plotly.py!D:D, "*"&amp;D43&amp;"*")+COUNTIF(dask!D:D, "*"&amp;D43&amp;"*")+COUNTIF(polars!D:D, "*"&amp;D43&amp;"*")+COUNTIF(loguru!D:D, "*"&amp;D43&amp;"*")+COUNTIF(LightGBM!D:D, "*"&amp;D43&amp;"*")+COUNTIF(sympy!D:D, "*"&amp;D43&amp;"*")+COUNTIF(spaCy!D:D, "*"&amp;D43&amp;"*")+COUNTIF(gensim!D:D, "*"&amp;D43&amp;"*")+COUNTIF(jax!D:D, "*"&amp;D43&amp;"*")+COUNTIF(aiohttp!D:D, "*"&amp;D43&amp;"*")+COUNTIF(faker!D:D, "*"&amp;D43&amp;"*")</f>
        <v>2</v>
      </c>
      <c r="F43">
        <f>E43-E9</f>
        <v>1</v>
      </c>
      <c r="Q43" s="14"/>
      <c r="T43" s="11"/>
      <c r="U43" s="11"/>
      <c r="V43" s="11"/>
      <c r="W43" s="11"/>
      <c r="X43" s="11"/>
      <c r="Y43" s="11"/>
      <c r="Z43" s="11"/>
      <c r="AA43" s="11"/>
      <c r="AB43" s="11"/>
      <c r="AC43" s="11"/>
      <c r="AD43" s="11"/>
      <c r="AE43" s="11"/>
      <c r="AF43" s="11"/>
    </row>
    <row r="44" spans="4:32">
      <c r="D44" t="s">
        <v>614</v>
      </c>
      <c r="E44" s="5">
        <f>COUNTIF(request!D:D, "*"&amp;D44&amp;"*")+COUNTIF(numpy!D:D, "*"&amp;D44&amp;"*")+COUNTIF(pandas!D:D, "*"&amp;D44&amp;"*")+COUNTIF(click!D:D, "*"&amp;D44&amp;"*")+COUNTIF(flask!D:D, "*"&amp;D44&amp;"*")+COUNTIF(pydantic!D:D, "*"&amp;D44&amp;"*")+COUNTIF(SciPy!D:D, "*"&amp;D44&amp;"*")+COUNTIF(pillow!D:D, "*"&amp;D44&amp;"*")+COUNTIF('scikit-learn'!D:D, "*"&amp;D44&amp;"*")+COUNTIF(matplotlib!D:D, "*"&amp;D44&amp;"*")+COUNTIF('redis-py'!D:D, "*"&amp;D44&amp;"*")+COUNTIF(tornado!D:D, "*"&amp;D44&amp;"*")+COUNTIF(NetworkX!D:D, "*"&amp;D44&amp;"*")+COUNTIF(rich!D:D, "*"&amp;D44&amp;"*")+COUNTIF(tensorflow!D:D, "*"&amp;D44&amp;"*")+COUNTIF(fastAPI!D:D, "*"&amp;D44&amp;"*")+COUNTIF(httpx!D:D, "*"&amp;D44&amp;"*")+COUNTIF(transformers!D:D, "*"&amp;D44&amp;"*")+COUNTIF(django!D:D, "*"&amp;D44&amp;"*")+COUNTIF(xgboost!D:D, "*"&amp;D44&amp;"*")+COUNTIF(keras!D:D, "*"&amp;D44&amp;"*")+COUNTIF(pytorch!D:D, "*"&amp;D44&amp;"*")+COUNTIF(plotly.py!D:D, "*"&amp;D44&amp;"*")+COUNTIF(dask!D:D, "*"&amp;D44&amp;"*")+COUNTIF(polars!D:D, "*"&amp;D44&amp;"*")+COUNTIF(loguru!D:D, "*"&amp;D44&amp;"*")+COUNTIF(LightGBM!D:D, "*"&amp;D44&amp;"*")+COUNTIF(sympy!D:D, "*"&amp;D44&amp;"*")+COUNTIF(spaCy!D:D, "*"&amp;D44&amp;"*")+COUNTIF(gensim!D:D, "*"&amp;D44&amp;"*")+COUNTIF(jax!D:D, "*"&amp;D44&amp;"*")+COUNTIF(aiohttp!D:D, "*"&amp;D44&amp;"*")+COUNTIF(faker!D:D, "*"&amp;D44&amp;"*")</f>
        <v>1</v>
      </c>
      <c r="J44" s="25"/>
      <c r="Q44" s="14"/>
      <c r="T44" s="11"/>
      <c r="U44" s="11"/>
      <c r="V44" s="11"/>
      <c r="W44" s="11"/>
      <c r="X44" s="11"/>
      <c r="Y44" s="11"/>
      <c r="Z44" s="11"/>
      <c r="AA44" s="11"/>
      <c r="AB44" s="11"/>
      <c r="AC44" s="11"/>
      <c r="AD44" s="11"/>
      <c r="AE44" s="11"/>
      <c r="AF44" s="11"/>
    </row>
    <row r="45" spans="4:32">
      <c r="D45" t="s">
        <v>676</v>
      </c>
      <c r="E45" s="5">
        <f>COUNTIF(request!D:D, "*"&amp;D45&amp;"*")+COUNTIF(numpy!D:D, "*"&amp;D45&amp;"*")+COUNTIF(pandas!D:D, "*"&amp;D45&amp;"*")+COUNTIF(click!D:D, "*"&amp;D45&amp;"*")+COUNTIF(flask!D:D, "*"&amp;D45&amp;"*")+COUNTIF(pydantic!D:D, "*"&amp;D45&amp;"*")+COUNTIF(SciPy!D:D, "*"&amp;D45&amp;"*")+COUNTIF(pillow!D:D, "*"&amp;D45&amp;"*")+COUNTIF('scikit-learn'!D:D, "*"&amp;D45&amp;"*")+COUNTIF(matplotlib!D:D, "*"&amp;D45&amp;"*")+COUNTIF('redis-py'!D:D, "*"&amp;D45&amp;"*")+COUNTIF(tornado!D:D, "*"&amp;D45&amp;"*")+COUNTIF(NetworkX!D:D, "*"&amp;D45&amp;"*")+COUNTIF(rich!D:D, "*"&amp;D45&amp;"*")+COUNTIF(tensorflow!D:D, "*"&amp;D45&amp;"*")+COUNTIF(fastAPI!D:D, "*"&amp;D45&amp;"*")+COUNTIF(httpx!D:D, "*"&amp;D45&amp;"*")+COUNTIF(transformers!D:D, "*"&amp;D45&amp;"*")+COUNTIF(django!D:D, "*"&amp;D45&amp;"*")+COUNTIF(xgboost!D:D, "*"&amp;D45&amp;"*")+COUNTIF(keras!D:D, "*"&amp;D45&amp;"*")+COUNTIF(pytorch!D:D, "*"&amp;D45&amp;"*")+COUNTIF(plotly.py!D:D, "*"&amp;D45&amp;"*")+COUNTIF(dask!D:D, "*"&amp;D45&amp;"*")+COUNTIF(polars!D:D, "*"&amp;D45&amp;"*")+COUNTIF(loguru!D:D, "*"&amp;D45&amp;"*")+COUNTIF(LightGBM!D:D, "*"&amp;D45&amp;"*")+COUNTIF(sympy!D:D, "*"&amp;D45&amp;"*")+COUNTIF(spaCy!D:D, "*"&amp;D45&amp;"*")+COUNTIF(gensim!D:D, "*"&amp;D45&amp;"*")+COUNTIF(jax!D:D, "*"&amp;D45&amp;"*")+COUNTIF(aiohttp!D:D, "*"&amp;D45&amp;"*")+COUNTIF(faker!D:D, "*"&amp;D45&amp;"*")</f>
        <v>2</v>
      </c>
      <c r="F45">
        <f>E45-E46</f>
        <v>1</v>
      </c>
      <c r="I45" s="21"/>
      <c r="J45" s="22"/>
      <c r="O45" s="18"/>
      <c r="Q45" s="14"/>
      <c r="T45" s="11"/>
      <c r="U45" s="11"/>
      <c r="V45" s="11"/>
      <c r="W45" s="11"/>
      <c r="X45" s="11"/>
      <c r="Y45" s="11"/>
      <c r="Z45" s="11"/>
      <c r="AA45" s="11"/>
      <c r="AB45" s="11"/>
      <c r="AC45" s="11"/>
      <c r="AD45" s="11"/>
      <c r="AE45" s="11"/>
      <c r="AF45" s="11"/>
    </row>
    <row r="46" spans="4:32">
      <c r="D46" t="s">
        <v>632</v>
      </c>
      <c r="E46" s="5">
        <f>COUNTIF(request!D:D, "*"&amp;D46&amp;"*")+COUNTIF(numpy!D:D, "*"&amp;D46&amp;"*")+COUNTIF(pandas!D:D, "*"&amp;D46&amp;"*")+COUNTIF(click!D:D, "*"&amp;D46&amp;"*")+COUNTIF(flask!D:D, "*"&amp;D46&amp;"*")+COUNTIF(pydantic!D:D, "*"&amp;D46&amp;"*")+COUNTIF(SciPy!D:D, "*"&amp;D46&amp;"*")+COUNTIF(pillow!D:D, "*"&amp;D46&amp;"*")+COUNTIF('scikit-learn'!D:D, "*"&amp;D46&amp;"*")+COUNTIF(matplotlib!D:D, "*"&amp;D46&amp;"*")+COUNTIF('redis-py'!D:D, "*"&amp;D46&amp;"*")+COUNTIF(tornado!D:D, "*"&amp;D46&amp;"*")+COUNTIF(NetworkX!D:D, "*"&amp;D46&amp;"*")+COUNTIF(rich!D:D, "*"&amp;D46&amp;"*")+COUNTIF(tensorflow!D:D, "*"&amp;D46&amp;"*")+COUNTIF(fastAPI!D:D, "*"&amp;D46&amp;"*")+COUNTIF(httpx!D:D, "*"&amp;D46&amp;"*")+COUNTIF(transformers!D:D, "*"&amp;D46&amp;"*")+COUNTIF(django!D:D, "*"&amp;D46&amp;"*")+COUNTIF(xgboost!D:D, "*"&amp;D46&amp;"*")+COUNTIF(keras!D:D, "*"&amp;D46&amp;"*")+COUNTIF(pytorch!D:D, "*"&amp;D46&amp;"*")+COUNTIF(plotly.py!D:D, "*"&amp;D46&amp;"*")+COUNTIF(dask!D:D, "*"&amp;D46&amp;"*")+COUNTIF(polars!D:D, "*"&amp;D46&amp;"*")+COUNTIF(loguru!D:D, "*"&amp;D46&amp;"*")+COUNTIF(LightGBM!D:D, "*"&amp;D46&amp;"*")+COUNTIF(sympy!D:D, "*"&amp;D46&amp;"*")+COUNTIF(spaCy!D:D, "*"&amp;D46&amp;"*")+COUNTIF(gensim!D:D, "*"&amp;D46&amp;"*")+COUNTIF(jax!D:D, "*"&amp;D46&amp;"*")+COUNTIF(aiohttp!D:D, "*"&amp;D46&amp;"*")+COUNTIF(faker!D:D, "*"&amp;D46&amp;"*")</f>
        <v>1</v>
      </c>
      <c r="I46" s="21"/>
      <c r="J46" s="23"/>
      <c r="O46" s="17"/>
      <c r="Q46" s="14"/>
      <c r="T46" s="11"/>
      <c r="U46" s="11"/>
      <c r="V46" s="11"/>
      <c r="W46" s="11"/>
      <c r="X46" s="11"/>
      <c r="Y46" s="11"/>
      <c r="Z46" s="11"/>
      <c r="AA46" s="11"/>
      <c r="AB46" s="11"/>
      <c r="AC46" s="11"/>
      <c r="AD46" s="11"/>
      <c r="AE46" s="11"/>
      <c r="AF46" s="11"/>
    </row>
    <row r="47" spans="4:32">
      <c r="D47" t="s">
        <v>620</v>
      </c>
      <c r="E47" s="5">
        <f>COUNTIF(request!D:D, "*"&amp;D47&amp;"*")+COUNTIF(numpy!D:D, "*"&amp;D47&amp;"*")+COUNTIF(pandas!D:D, "*"&amp;D47&amp;"*")+COUNTIF(click!D:D, "*"&amp;D47&amp;"*")+COUNTIF(flask!D:D, "*"&amp;D47&amp;"*")+COUNTIF(pydantic!D:D, "*"&amp;D47&amp;"*")+COUNTIF(SciPy!D:D, "*"&amp;D47&amp;"*")+COUNTIF(pillow!D:D, "*"&amp;D47&amp;"*")+COUNTIF('scikit-learn'!D:D, "*"&amp;D47&amp;"*")+COUNTIF(matplotlib!D:D, "*"&amp;D47&amp;"*")+COUNTIF('redis-py'!D:D, "*"&amp;D47&amp;"*")+COUNTIF(tornado!D:D, "*"&amp;D47&amp;"*")+COUNTIF(NetworkX!D:D, "*"&amp;D47&amp;"*")+COUNTIF(rich!D:D, "*"&amp;D47&amp;"*")+COUNTIF(tensorflow!D:D, "*"&amp;D47&amp;"*")+COUNTIF(fastAPI!D:D, "*"&amp;D47&amp;"*")+COUNTIF(httpx!D:D, "*"&amp;D47&amp;"*")+COUNTIF(transformers!D:D, "*"&amp;D47&amp;"*")+COUNTIF(django!D:D, "*"&amp;D47&amp;"*")+COUNTIF(xgboost!D:D, "*"&amp;D47&amp;"*")+COUNTIF(keras!D:D, "*"&amp;D47&amp;"*")+COUNTIF(pytorch!D:D, "*"&amp;D47&amp;"*")+COUNTIF(plotly.py!D:D, "*"&amp;D47&amp;"*")+COUNTIF(dask!D:D, "*"&amp;D47&amp;"*")+COUNTIF(polars!D:D, "*"&amp;D47&amp;"*")+COUNTIF(loguru!D:D, "*"&amp;D47&amp;"*")+COUNTIF(LightGBM!D:D, "*"&amp;D47&amp;"*")+COUNTIF(sympy!D:D, "*"&amp;D47&amp;"*")+COUNTIF(spaCy!D:D, "*"&amp;D47&amp;"*")+COUNTIF(gensim!D:D, "*"&amp;D47&amp;"*")+COUNTIF(jax!D:D, "*"&amp;D47&amp;"*")+COUNTIF(aiohttp!D:D, "*"&amp;D47&amp;"*")+COUNTIF(faker!D:D, "*"&amp;D47&amp;"*")</f>
        <v>7</v>
      </c>
      <c r="I47" s="21"/>
      <c r="J47" s="21"/>
      <c r="Q47" s="14"/>
      <c r="T47" s="11"/>
      <c r="U47" s="11"/>
      <c r="V47" s="11"/>
      <c r="W47" s="11"/>
      <c r="X47" s="11"/>
      <c r="Y47" s="11"/>
      <c r="Z47" s="11"/>
      <c r="AA47" s="11"/>
      <c r="AB47" s="11"/>
      <c r="AC47" s="11"/>
      <c r="AD47" s="11"/>
      <c r="AE47" s="11"/>
      <c r="AF47" s="11"/>
    </row>
    <row r="48" spans="4:32">
      <c r="D48" t="s">
        <v>677</v>
      </c>
      <c r="E48" s="5">
        <f>COUNTIF(request!D:D, "*"&amp;D48&amp;"*")+COUNTIF(numpy!D:D, "*"&amp;D48&amp;"*")+COUNTIF(pandas!D:D, "*"&amp;D48&amp;"*")+COUNTIF(click!D:D, "*"&amp;D48&amp;"*")+COUNTIF(flask!D:D, "*"&amp;D48&amp;"*")+COUNTIF(pydantic!D:D, "*"&amp;D48&amp;"*")+COUNTIF(SciPy!D:D, "*"&amp;D48&amp;"*")+COUNTIF(pillow!D:D, "*"&amp;D48&amp;"*")+COUNTIF('scikit-learn'!D:D, "*"&amp;D48&amp;"*")+COUNTIF(matplotlib!D:D, "*"&amp;D48&amp;"*")+COUNTIF('redis-py'!D:D, "*"&amp;D48&amp;"*")+COUNTIF(tornado!D:D, "*"&amp;D48&amp;"*")+COUNTIF(NetworkX!D:D, "*"&amp;D48&amp;"*")+COUNTIF(rich!D:D, "*"&amp;D48&amp;"*")+COUNTIF(tensorflow!D:D, "*"&amp;D48&amp;"*")+COUNTIF(fastAPI!D:D, "*"&amp;D48&amp;"*")+COUNTIF(httpx!D:D, "*"&amp;D48&amp;"*")+COUNTIF(transformers!D:D, "*"&amp;D48&amp;"*")+COUNTIF(django!D:D, "*"&amp;D48&amp;"*")+COUNTIF(xgboost!D:D, "*"&amp;D48&amp;"*")+COUNTIF(keras!D:D, "*"&amp;D48&amp;"*")+COUNTIF(pytorch!D:D, "*"&amp;D48&amp;"*")+COUNTIF(plotly.py!D:D, "*"&amp;D48&amp;"*")+COUNTIF(dask!D:D, "*"&amp;D48&amp;"*")+COUNTIF(polars!D:D, "*"&amp;D48&amp;"*")+COUNTIF(loguru!D:D, "*"&amp;D48&amp;"*")+COUNTIF(LightGBM!D:D, "*"&amp;D48&amp;"*")+COUNTIF(sympy!D:D, "*"&amp;D48&amp;"*")+COUNTIF(spaCy!D:D, "*"&amp;D48&amp;"*")+COUNTIF(gensim!D:D, "*"&amp;D48&amp;"*")+COUNTIF(jax!D:D, "*"&amp;D48&amp;"*")+COUNTIF(aiohttp!D:D, "*"&amp;D48&amp;"*")+COUNTIF(faker!D:D, "*"&amp;D48&amp;"*")</f>
        <v>17</v>
      </c>
      <c r="I48" s="21"/>
      <c r="J48" s="23"/>
      <c r="O48" s="17"/>
      <c r="Q48" s="14"/>
      <c r="T48" s="11"/>
      <c r="U48" s="11"/>
      <c r="V48" s="11"/>
      <c r="W48" s="11"/>
      <c r="X48" s="11"/>
      <c r="Y48" s="11"/>
      <c r="Z48" s="11"/>
      <c r="AA48" s="11"/>
      <c r="AB48" s="11"/>
      <c r="AC48" s="11"/>
      <c r="AD48" s="11"/>
      <c r="AE48" s="11"/>
      <c r="AF48" s="11"/>
    </row>
    <row r="49" spans="4:32">
      <c r="D49" t="s">
        <v>635</v>
      </c>
      <c r="E49" s="5">
        <f>COUNTIF(request!D:D, "*"&amp;D49&amp;"*")+COUNTIF(numpy!D:D, "*"&amp;D49&amp;"*")+COUNTIF(pandas!D:D, "*"&amp;D49&amp;"*")+COUNTIF(click!D:D, "*"&amp;D49&amp;"*")+COUNTIF(flask!D:D, "*"&amp;D49&amp;"*")+COUNTIF(pydantic!D:D, "*"&amp;D49&amp;"*")+COUNTIF(SciPy!D:D, "*"&amp;D49&amp;"*")+COUNTIF(pillow!D:D, "*"&amp;D49&amp;"*")+COUNTIF('scikit-learn'!D:D, "*"&amp;D49&amp;"*")+COUNTIF(matplotlib!D:D, "*"&amp;D49&amp;"*")+COUNTIF('redis-py'!D:D, "*"&amp;D49&amp;"*")+COUNTIF(tornado!D:D, "*"&amp;D49&amp;"*")+COUNTIF(NetworkX!D:D, "*"&amp;D49&amp;"*")+COUNTIF(rich!D:D, "*"&amp;D49&amp;"*")+COUNTIF(tensorflow!D:D, "*"&amp;D49&amp;"*")+COUNTIF(fastAPI!D:D, "*"&amp;D49&amp;"*")+COUNTIF(httpx!D:D, "*"&amp;D49&amp;"*")+COUNTIF(transformers!D:D, "*"&amp;D49&amp;"*")+COUNTIF(django!D:D, "*"&amp;D49&amp;"*")+COUNTIF(xgboost!D:D, "*"&amp;D49&amp;"*")+COUNTIF(keras!D:D, "*"&amp;D49&amp;"*")+COUNTIF(pytorch!D:D, "*"&amp;D49&amp;"*")+COUNTIF(plotly.py!D:D, "*"&amp;D49&amp;"*")+COUNTIF(dask!D:D, "*"&amp;D49&amp;"*")+COUNTIF(polars!D:D, "*"&amp;D49&amp;"*")+COUNTIF(loguru!D:D, "*"&amp;D49&amp;"*")+COUNTIF(LightGBM!D:D, "*"&amp;D49&amp;"*")+COUNTIF(sympy!D:D, "*"&amp;D49&amp;"*")+COUNTIF(spaCy!D:D, "*"&amp;D49&amp;"*")+COUNTIF(gensim!D:D, "*"&amp;D49&amp;"*")+COUNTIF(jax!D:D, "*"&amp;D49&amp;"*")+COUNTIF(aiohttp!D:D, "*"&amp;D49&amp;"*")+COUNTIF(faker!D:D, "*"&amp;D49&amp;"*")</f>
        <v>7</v>
      </c>
      <c r="I49" s="21"/>
      <c r="J49" s="23"/>
      <c r="O49" s="17"/>
      <c r="Q49" s="14"/>
      <c r="T49" s="11"/>
      <c r="U49" s="11"/>
      <c r="V49" s="11"/>
      <c r="W49" s="11"/>
      <c r="X49" s="11"/>
      <c r="Y49" s="11"/>
      <c r="Z49" s="11"/>
      <c r="AA49" s="11"/>
      <c r="AB49" s="11"/>
      <c r="AC49" s="11"/>
      <c r="AD49" s="11"/>
      <c r="AE49" s="11"/>
      <c r="AF49" s="11"/>
    </row>
    <row r="50" spans="4:32">
      <c r="I50" s="21"/>
      <c r="J50" s="23"/>
      <c r="O50" s="17"/>
      <c r="Q50" s="14"/>
      <c r="T50" s="11"/>
      <c r="U50" s="11"/>
      <c r="V50" s="11"/>
      <c r="W50" s="11"/>
      <c r="X50" s="11"/>
      <c r="Y50" s="11"/>
      <c r="Z50" s="11"/>
      <c r="AA50" s="11"/>
      <c r="AB50" s="11"/>
      <c r="AC50" s="11"/>
      <c r="AD50" s="11"/>
      <c r="AE50" s="11"/>
      <c r="AF50" s="11"/>
    </row>
    <row r="51" spans="4:32">
      <c r="I51" s="21"/>
      <c r="J51" s="21"/>
      <c r="Q51" s="14"/>
    </row>
    <row r="52" spans="4:32">
      <c r="I52" s="21"/>
      <c r="J52" s="23"/>
      <c r="O52" s="17"/>
      <c r="Q52" s="14"/>
    </row>
    <row r="53" spans="4:32">
      <c r="I53" s="21"/>
      <c r="J53" s="23"/>
      <c r="O53" s="17"/>
      <c r="Q53" s="14"/>
    </row>
    <row r="54" spans="4:32">
      <c r="I54" s="21"/>
      <c r="J54" s="23"/>
      <c r="O54" s="17"/>
      <c r="Q54" s="14"/>
    </row>
    <row r="55" spans="4:32">
      <c r="I55" s="21"/>
      <c r="J55" s="21"/>
      <c r="Q55" s="14"/>
    </row>
    <row r="56" spans="4:32">
      <c r="I56" s="21"/>
      <c r="J56" s="24"/>
      <c r="O56" s="19"/>
      <c r="Q56" s="14"/>
    </row>
    <row r="57" spans="4:32">
      <c r="I57" s="21"/>
      <c r="J57" s="21"/>
      <c r="Q57" s="14"/>
    </row>
    <row r="58" spans="4:32">
      <c r="I58" s="21"/>
      <c r="J58" s="21"/>
      <c r="Q58" s="14"/>
    </row>
    <row r="61" spans="4:32">
      <c r="I61" s="28"/>
      <c r="J61" s="28"/>
      <c r="K61" s="28"/>
      <c r="L61" s="28"/>
    </row>
  </sheetData>
  <mergeCells count="2">
    <mergeCell ref="I61:L61"/>
    <mergeCell ref="I23:I26"/>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34</vt:i4>
      </vt:variant>
    </vt:vector>
  </HeadingPairs>
  <TitlesOfParts>
    <vt:vector size="34" baseType="lpstr">
      <vt:lpstr>request</vt:lpstr>
      <vt:lpstr>numpy</vt:lpstr>
      <vt:lpstr>pandas</vt:lpstr>
      <vt:lpstr>click</vt:lpstr>
      <vt:lpstr>flask</vt:lpstr>
      <vt:lpstr>pydantic</vt:lpstr>
      <vt:lpstr>SciPy</vt:lpstr>
      <vt:lpstr>pillow</vt:lpstr>
      <vt:lpstr>scikit-learn</vt:lpstr>
      <vt:lpstr>matplotlib</vt:lpstr>
      <vt:lpstr>redis-py</vt:lpstr>
      <vt:lpstr>tornado</vt:lpstr>
      <vt:lpstr>NetworkX</vt:lpstr>
      <vt:lpstr>rich</vt:lpstr>
      <vt:lpstr>tensorflow</vt:lpstr>
      <vt:lpstr>fastAPI</vt:lpstr>
      <vt:lpstr>httpx</vt:lpstr>
      <vt:lpstr>transformers</vt:lpstr>
      <vt:lpstr>django</vt:lpstr>
      <vt:lpstr>xgboost</vt:lpstr>
      <vt:lpstr>keras</vt:lpstr>
      <vt:lpstr>pytorch</vt:lpstr>
      <vt:lpstr>plotly.py</vt:lpstr>
      <vt:lpstr>dask</vt:lpstr>
      <vt:lpstr>polars</vt:lpstr>
      <vt:lpstr>loguru</vt:lpstr>
      <vt:lpstr>LightGBM</vt:lpstr>
      <vt:lpstr>sympy</vt:lpstr>
      <vt:lpstr>spaCy</vt:lpstr>
      <vt:lpstr>gensim</vt:lpstr>
      <vt:lpstr>jax</vt:lpstr>
      <vt:lpstr>aiohttp</vt:lpstr>
      <vt:lpstr>faker</vt:lpstr>
      <vt:lpstr>keywords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hejiyun</dc:creator>
  <cp:lastModifiedBy>刚强 何</cp:lastModifiedBy>
  <dcterms:created xsi:type="dcterms:W3CDTF">2015-06-05T18:19:34Z</dcterms:created>
  <dcterms:modified xsi:type="dcterms:W3CDTF">2026-09-06T10:50:07Z</dcterms:modified>
</cp:coreProperties>
</file>